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C:\Users\obikp\Documents\Mr Innocent project\"/>
    </mc:Choice>
  </mc:AlternateContent>
  <xr:revisionPtr revIDLastSave="0" documentId="13_ncr:1_{EBDE69DA-4007-46EA-B176-F2F6E570A4A4}" xr6:coauthVersionLast="47" xr6:coauthVersionMax="47" xr10:uidLastSave="{00000000-0000-0000-0000-000000000000}"/>
  <bookViews>
    <workbookView xWindow="-120" yWindow="-120" windowWidth="20730" windowHeight="11040" xr2:uid="{DD48EB59-D422-440A-B3D8-B7024E933AC0}"/>
  </bookViews>
  <sheets>
    <sheet name="Business_Analytics" sheetId="6" r:id="rId1"/>
    <sheet name="Sales_Entry_Form" sheetId="4" r:id="rId2"/>
    <sheet name="Sales_Data" sheetId="3" r:id="rId3"/>
    <sheet name="Products" sheetId="5" r:id="rId4"/>
    <sheet name="Settings" sheetId="8" state="hidden" r:id="rId5"/>
    <sheet name="Pivot Table" sheetId="7" state="hidden" r:id="rId6"/>
  </sheets>
  <definedNames>
    <definedName name="_xleta.TODAY" hidden="1" xlm="1">#NAME?</definedName>
    <definedName name="_xlpm.x" hidden="1" xlm="1">#NAME?</definedName>
    <definedName name="BUS_115_CID" hidden="1">"WINTER_2026_B2"</definedName>
    <definedName name="FA22_BUS_115_CID" hidden="1">"FALL_2022"</definedName>
    <definedName name="FA23_BUS_115_CID" hidden="1">"FALL_2023"</definedName>
    <definedName name="FA24_BUS_115_CID" hidden="1">"FALL_2024_B2"</definedName>
    <definedName name="FA25_BUS_115_CID" hidden="1">"FALL_2025_B2"</definedName>
    <definedName name="Slicer_Product_Category">#N/A</definedName>
    <definedName name="Slicer_Years__Date">#N/A</definedName>
    <definedName name="SP22_BUS_115_CID" hidden="1">"SPRING_2022"</definedName>
    <definedName name="SP23_BUS_115_CID" hidden="1">"SPRING_2023"</definedName>
    <definedName name="SP24_BUS_115_CID" hidden="1">"SPRING_2024_B2"</definedName>
    <definedName name="SP25_BUS_115_CID" hidden="1">"SPRING_2025_B2"</definedName>
    <definedName name="WI23_BUS_115_CID" hidden="1">"WINTER_2023"</definedName>
    <definedName name="WI24_BUS_115_CID" hidden="1">"WINTER_2024"</definedName>
    <definedName name="WI25_BUS_115_CID" hidden="1">"WINTER_2025_B2"</definedName>
    <definedName name="WI26_BUS_115_CID" hidden="1">"WINTER_2026_B2"</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05" i="3" l="1"/>
  <c r="J103" i="3"/>
  <c r="J104" i="3"/>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3" i="3"/>
  <c r="F1" i="7"/>
  <c r="I1" i="7"/>
  <c r="B1" i="7"/>
  <c r="B12" i="4"/>
  <c r="B13" i="4"/>
  <c r="B14" i="4"/>
  <c r="B15" i="4"/>
  <c r="B16" i="4"/>
  <c r="B17" i="4"/>
  <c r="B18" i="4"/>
  <c r="B19" i="4"/>
  <c r="B20" i="4"/>
  <c r="B21" i="4"/>
  <c r="B22" i="4"/>
  <c r="B23" i="4"/>
  <c r="B24" i="4"/>
  <c r="B25" i="4"/>
  <c r="B11" i="4"/>
  <c r="G12" i="4"/>
  <c r="G13" i="4"/>
  <c r="G14" i="4"/>
  <c r="G15" i="4"/>
  <c r="G16" i="4"/>
  <c r="G17" i="4"/>
  <c r="G18" i="4"/>
  <c r="G19" i="4"/>
  <c r="G20" i="4"/>
  <c r="G21" i="4"/>
  <c r="G22" i="4"/>
  <c r="G23" i="4"/>
  <c r="G24" i="4"/>
  <c r="G25" i="4"/>
  <c r="G11" i="4"/>
  <c r="D12" i="4"/>
  <c r="D13" i="4"/>
  <c r="D14" i="4"/>
  <c r="D15" i="4"/>
  <c r="D16" i="4"/>
  <c r="D17" i="4"/>
  <c r="D18" i="4"/>
  <c r="D19" i="4"/>
  <c r="D20" i="4"/>
  <c r="D21" i="4"/>
  <c r="D22" i="4"/>
  <c r="D23" i="4"/>
  <c r="D24" i="4"/>
  <c r="D25" i="4"/>
  <c r="D11" i="4"/>
  <c r="H12" i="4"/>
  <c r="H13" i="4"/>
  <c r="H14" i="4"/>
  <c r="H15" i="4"/>
  <c r="H16" i="4"/>
  <c r="H17" i="4"/>
  <c r="H18" i="4"/>
  <c r="H19" i="4"/>
  <c r="H20" i="4"/>
  <c r="H21" i="4"/>
  <c r="H22" i="4"/>
  <c r="H23" i="4"/>
  <c r="H24" i="4"/>
  <c r="H25" i="4"/>
  <c r="H11" i="4"/>
  <c r="D26" i="4" s="1"/>
  <c r="C8" i="4"/>
</calcChain>
</file>

<file path=xl/sharedStrings.xml><?xml version="1.0" encoding="utf-8"?>
<sst xmlns="http://schemas.openxmlformats.org/spreadsheetml/2006/main" count="912" uniqueCount="351">
  <si>
    <t>Date</t>
  </si>
  <si>
    <t>Product ID</t>
  </si>
  <si>
    <t>Product Name</t>
  </si>
  <si>
    <t>Category</t>
  </si>
  <si>
    <t>Unit Price</t>
  </si>
  <si>
    <t>Total Revenue</t>
  </si>
  <si>
    <t>Payment Method</t>
  </si>
  <si>
    <t>NDUKA GADGETS AND CO.</t>
  </si>
  <si>
    <t>Customer Name</t>
  </si>
  <si>
    <t>Customer's Name:</t>
  </si>
  <si>
    <t>Customer's Phone:</t>
  </si>
  <si>
    <t>Date:</t>
  </si>
  <si>
    <t>Serial number</t>
  </si>
  <si>
    <t>Product</t>
  </si>
  <si>
    <t>Quantity</t>
  </si>
  <si>
    <t>Total Price</t>
  </si>
  <si>
    <t>Total</t>
  </si>
  <si>
    <t>Seller's Signature</t>
  </si>
  <si>
    <t>Customer's Signature</t>
  </si>
  <si>
    <t>___________________________</t>
  </si>
  <si>
    <t>_________________________</t>
  </si>
  <si>
    <t>Sales ID</t>
  </si>
  <si>
    <t>Phone</t>
  </si>
  <si>
    <t xml:space="preserve">Sales order form NO: </t>
  </si>
  <si>
    <t>Unit Price (₦)</t>
  </si>
  <si>
    <t>MB-001</t>
  </si>
  <si>
    <t>Macbooks</t>
  </si>
  <si>
    <t>MacBook Pro 16" (M3 Max, 36GB, 1TB)</t>
  </si>
  <si>
    <t>MB-002</t>
  </si>
  <si>
    <t>MacBook Pro 14" (M3 Pro, 18GB, 512GB)</t>
  </si>
  <si>
    <t>MB-003</t>
  </si>
  <si>
    <t>MacBook Pro 13" (M2, 8GB, 256GB)</t>
  </si>
  <si>
    <t>MB-004</t>
  </si>
  <si>
    <t>MacBook Air 15" (M3, 16GB, 512GB)</t>
  </si>
  <si>
    <t>MB-005</t>
  </si>
  <si>
    <t>MacBook Air 13" (M2, 8GB, 256GB)</t>
  </si>
  <si>
    <t>MB-006</t>
  </si>
  <si>
    <t>MacBook Air 13" (M1, 8GB, 256GB)</t>
  </si>
  <si>
    <t>IP-015PM</t>
  </si>
  <si>
    <t>iPhones</t>
  </si>
  <si>
    <t>iPhone 15 Pro Max (256GB)</t>
  </si>
  <si>
    <t>IP-015P</t>
  </si>
  <si>
    <t>iPhone 15 Pro (128GB)</t>
  </si>
  <si>
    <t>IP-015</t>
  </si>
  <si>
    <t>iPhone 15 (128GB)</t>
  </si>
  <si>
    <t>IP-014PM</t>
  </si>
  <si>
    <t>iPhone 14 Pro Max (256GB)</t>
  </si>
  <si>
    <t>IP-014P</t>
  </si>
  <si>
    <t>iPhone 14 Pro (128GB)</t>
  </si>
  <si>
    <t>IP-014</t>
  </si>
  <si>
    <t>iPhone 14 (128GB)</t>
  </si>
  <si>
    <t>IP-013PM</t>
  </si>
  <si>
    <t>iPhone 13 Pro Max (256GB)</t>
  </si>
  <si>
    <t>IP-013</t>
  </si>
  <si>
    <t>iPhone 13 (128GB)</t>
  </si>
  <si>
    <t>IP-012</t>
  </si>
  <si>
    <t>iPhone 12 (128GB)</t>
  </si>
  <si>
    <t>IP-011</t>
  </si>
  <si>
    <t>iPhone 11 (64GB)</t>
  </si>
  <si>
    <t>LT-001</t>
  </si>
  <si>
    <t>Laptops</t>
  </si>
  <si>
    <t>HP Victus 15 (RTX 3050, i5)</t>
  </si>
  <si>
    <t>LT-002</t>
  </si>
  <si>
    <t>HP Envy x360 (i7, 16GB RAM)</t>
  </si>
  <si>
    <t>LT-003</t>
  </si>
  <si>
    <t>Dell Latitude 5420 (Used/Grade A)</t>
  </si>
  <si>
    <t>LT-004</t>
  </si>
  <si>
    <t>ASUS ROG Zephyrus G14</t>
  </si>
  <si>
    <t>LT-005</t>
  </si>
  <si>
    <t>Lenovo ThinkPad X1 Carbon</t>
  </si>
  <si>
    <t>TB-001</t>
  </si>
  <si>
    <t>Tablets</t>
  </si>
  <si>
    <t>iPad Pro 12.9" (M2, 256GB)</t>
  </si>
  <si>
    <t>TB-002</t>
  </si>
  <si>
    <t>iPad Air 5 (M1, 64GB)</t>
  </si>
  <si>
    <t>TB-003</t>
  </si>
  <si>
    <t>iPad 10th Gen (64GB)</t>
  </si>
  <si>
    <t>TB-004</t>
  </si>
  <si>
    <t>Samsung Tab S9 Ultra</t>
  </si>
  <si>
    <t>TV-001</t>
  </si>
  <si>
    <t>TV</t>
  </si>
  <si>
    <t>Samsung 75" Crystal UHD 4K</t>
  </si>
  <si>
    <t>TV-002</t>
  </si>
  <si>
    <t>LG 65" OLED C3</t>
  </si>
  <si>
    <t>TV-003</t>
  </si>
  <si>
    <t>Panasonic 55" Android TV</t>
  </si>
  <si>
    <t>AC-001</t>
  </si>
  <si>
    <t>Gadgets</t>
  </si>
  <si>
    <t>Apple Watch Ultra 2</t>
  </si>
  <si>
    <t>AC-002</t>
  </si>
  <si>
    <t>Apple Watch Series 9</t>
  </si>
  <si>
    <t>AC-003</t>
  </si>
  <si>
    <t>AirPods Pro (2nd Gen)</t>
  </si>
  <si>
    <t>AC-004</t>
  </si>
  <si>
    <t>Sony WH-1000XM5 Headphones</t>
  </si>
  <si>
    <t>AC-005</t>
  </si>
  <si>
    <t>Oraimo FreePods 4</t>
  </si>
  <si>
    <t>AC-006</t>
  </si>
  <si>
    <t>PS5 Console (Disc Edition)</t>
  </si>
  <si>
    <t>Product Category</t>
  </si>
  <si>
    <t>Cash</t>
  </si>
  <si>
    <t>Bank Transfer</t>
  </si>
  <si>
    <t>P.O.S.</t>
  </si>
  <si>
    <t>Other</t>
  </si>
  <si>
    <t>ND-A1F312B10</t>
  </si>
  <si>
    <t>Chidi Okafor</t>
  </si>
  <si>
    <t>08034567890</t>
  </si>
  <si>
    <t>Transfer</t>
  </si>
  <si>
    <t>ND-K9E445C12</t>
  </si>
  <si>
    <t>Funke Akindele</t>
  </si>
  <si>
    <t>08122334455</t>
  </si>
  <si>
    <t>MacBook Pro 14" (M3 Pro)</t>
  </si>
  <si>
    <t>POS</t>
  </si>
  <si>
    <t>ND-B2G556D15</t>
  </si>
  <si>
    <t>Ibrahim Musa</t>
  </si>
  <si>
    <t>09055667788</t>
  </si>
  <si>
    <t>ND-J8H778F20</t>
  </si>
  <si>
    <t>Blessing Ebere</t>
  </si>
  <si>
    <t>07011223344</t>
  </si>
  <si>
    <t>ND-L1M990G25</t>
  </si>
  <si>
    <t>Segun Arinze</t>
  </si>
  <si>
    <t>08099887766</t>
  </si>
  <si>
    <t>ND-S4P112H30</t>
  </si>
  <si>
    <t>Ngozi Uzor</t>
  </si>
  <si>
    <t>08100223344</t>
  </si>
  <si>
    <t>iPad Pro 12.9" (M2)</t>
  </si>
  <si>
    <t>ND-R5T334J35</t>
  </si>
  <si>
    <t>David Okoro</t>
  </si>
  <si>
    <t>09033445566</t>
  </si>
  <si>
    <t>ND-W9Z556K40</t>
  </si>
  <si>
    <t>Tunde Bakare</t>
  </si>
  <si>
    <t>08022334455</t>
  </si>
  <si>
    <t>MacBook Air 13" (M1)</t>
  </si>
  <si>
    <t>ND-Q2X778L45</t>
  </si>
  <si>
    <t>Amaka Njoku</t>
  </si>
  <si>
    <t>07066778899</t>
  </si>
  <si>
    <t>ND-V3Y990M50</t>
  </si>
  <si>
    <t>Emeka Junior</t>
  </si>
  <si>
    <t>08177889900</t>
  </si>
  <si>
    <t>ND-Z4B112N55</t>
  </si>
  <si>
    <t>Aisha Bello</t>
  </si>
  <si>
    <t>09011223344</t>
  </si>
  <si>
    <t>ND-X6C334P60</t>
  </si>
  <si>
    <t>Kelvin Hart</t>
  </si>
  <si>
    <t>08055443322</t>
  </si>
  <si>
    <t>HP Envy x360 (i7)</t>
  </si>
  <si>
    <t>Sony WH-1000XM5</t>
  </si>
  <si>
    <t>ND-M1D556Q65</t>
  </si>
  <si>
    <t>Joy Idibia</t>
  </si>
  <si>
    <t>07033221100</t>
  </si>
  <si>
    <t>ND-N8F778R70</t>
  </si>
  <si>
    <t>Banky W.</t>
  </si>
  <si>
    <t>08011224466</t>
  </si>
  <si>
    <t>MacBook Pro 16" (M3 Max)</t>
  </si>
  <si>
    <t>ND-P2G990S75</t>
  </si>
  <si>
    <t>Anita Joseph</t>
  </si>
  <si>
    <t>09077889911</t>
  </si>
  <si>
    <t>ND-S5H112T80</t>
  </si>
  <si>
    <t>Jude Abaga</t>
  </si>
  <si>
    <t>08122335577</t>
  </si>
  <si>
    <t>HP Victus 15</t>
  </si>
  <si>
    <t>ND-U7J334V85</t>
  </si>
  <si>
    <t>Olamide B.</t>
  </si>
  <si>
    <t>08099881122</t>
  </si>
  <si>
    <t>MacBook Air 15" (M3)</t>
  </si>
  <si>
    <t>ND-Y9K556W90</t>
  </si>
  <si>
    <t>Mercy Eke</t>
  </si>
  <si>
    <t>07055441122</t>
  </si>
  <si>
    <t>ND-T3L778X95</t>
  </si>
  <si>
    <t>Wizkid A.</t>
  </si>
  <si>
    <t>08044332211</t>
  </si>
  <si>
    <t>Samsung 75" Crystal UHD</t>
  </si>
  <si>
    <t>ND-H4M990Y11</t>
  </si>
  <si>
    <t>Tiwa Savage</t>
  </si>
  <si>
    <t>08012345678</t>
  </si>
  <si>
    <t>ND-G7N112Z22</t>
  </si>
  <si>
    <t>Burna Boy</t>
  </si>
  <si>
    <t>09088776655</t>
  </si>
  <si>
    <t>MacBook Pro 13" (M2)</t>
  </si>
  <si>
    <t>ND-F9P334A33</t>
  </si>
  <si>
    <t>Simi Kosoko</t>
  </si>
  <si>
    <t>07044332211</t>
  </si>
  <si>
    <t>ND-E2Q556B44</t>
  </si>
  <si>
    <t>Falz D.</t>
  </si>
  <si>
    <t>08066554433</t>
  </si>
  <si>
    <t>ND-D5R778C55</t>
  </si>
  <si>
    <t>Yemi Alade</t>
  </si>
  <si>
    <t>iPad Air 5 (M1)</t>
  </si>
  <si>
    <t>ND-C8S990D66</t>
  </si>
  <si>
    <t>Patoranking</t>
  </si>
  <si>
    <t>ND-B1T112E77</t>
  </si>
  <si>
    <t>Rema D.</t>
  </si>
  <si>
    <t>ND-A4U334F88</t>
  </si>
  <si>
    <t>Ayra Starr</t>
  </si>
  <si>
    <t>07055443322</t>
  </si>
  <si>
    <t>ND-Z7V556G99</t>
  </si>
  <si>
    <t>Don Jazzy</t>
  </si>
  <si>
    <t>ND-Y9W778H11</t>
  </si>
  <si>
    <t>Davido A.</t>
  </si>
  <si>
    <t>ND-W2X990J22</t>
  </si>
  <si>
    <t>Tems O.</t>
  </si>
  <si>
    <t>ND-V5Y112K33</t>
  </si>
  <si>
    <t>Fireboy DML</t>
  </si>
  <si>
    <t>MacBook Air 13" (M2)</t>
  </si>
  <si>
    <t>ND-U8Z334L44</t>
  </si>
  <si>
    <t>Joeboy</t>
  </si>
  <si>
    <t>ND-T1A556M55</t>
  </si>
  <si>
    <t>Ruger</t>
  </si>
  <si>
    <t>ND-S4B778N66</t>
  </si>
  <si>
    <t>Crayon</t>
  </si>
  <si>
    <t>ND-R7C990P77</t>
  </si>
  <si>
    <t>Victony</t>
  </si>
  <si>
    <t>ND-Q9D112Q88</t>
  </si>
  <si>
    <t>Bella Shmurda</t>
  </si>
  <si>
    <t>ND-P2E334R99</t>
  </si>
  <si>
    <t>Zinoleesky</t>
  </si>
  <si>
    <t>ND-O5F556S11</t>
  </si>
  <si>
    <t>Mohbad</t>
  </si>
  <si>
    <t>Dell Latitude 5420</t>
  </si>
  <si>
    <t>ND-N8G778T22</t>
  </si>
  <si>
    <t>Seyi Vibez</t>
  </si>
  <si>
    <t>ND-M1H990U33</t>
  </si>
  <si>
    <t>Asake</t>
  </si>
  <si>
    <t>ND-L4J112V44</t>
  </si>
  <si>
    <t>Omah Lay</t>
  </si>
  <si>
    <t>ND-K7K334W55</t>
  </si>
  <si>
    <t>Blaqbonez</t>
  </si>
  <si>
    <t>09022334455</t>
  </si>
  <si>
    <t>ND-J9L556X66</t>
  </si>
  <si>
    <t>Odumodublvck</t>
  </si>
  <si>
    <t>ND-H2M778Y77</t>
  </si>
  <si>
    <t>Shallipopi</t>
  </si>
  <si>
    <t>ND-G5N990Z88</t>
  </si>
  <si>
    <t>Spyro</t>
  </si>
  <si>
    <t>ND-F8P112A99</t>
  </si>
  <si>
    <t>Zlatan Ibile</t>
  </si>
  <si>
    <t>ND-E1Q334B11</t>
  </si>
  <si>
    <t>Naira Marley</t>
  </si>
  <si>
    <t>ND-D4R556C22</t>
  </si>
  <si>
    <t>Lil Kesh</t>
  </si>
  <si>
    <t>ND-C7S778D33</t>
  </si>
  <si>
    <t>Reekado Banks</t>
  </si>
  <si>
    <t>ND-B9T990E44</t>
  </si>
  <si>
    <t>Korede Bello</t>
  </si>
  <si>
    <t>ND-A2U112F55</t>
  </si>
  <si>
    <t>Di'ja</t>
  </si>
  <si>
    <t>ND-Z5V334G66</t>
  </si>
  <si>
    <t>Dr. SID</t>
  </si>
  <si>
    <t>ND-Y8W556H77</t>
  </si>
  <si>
    <t>D'Prince</t>
  </si>
  <si>
    <t>ND-X1X778J88</t>
  </si>
  <si>
    <t>Ikechukwu</t>
  </si>
  <si>
    <t>ND-W4Y990K99</t>
  </si>
  <si>
    <t>Naeto C</t>
  </si>
  <si>
    <t>ND-V7Z112L11</t>
  </si>
  <si>
    <t>MI Abaga</t>
  </si>
  <si>
    <t>ND-U9A334M22</t>
  </si>
  <si>
    <t>Ice Prince</t>
  </si>
  <si>
    <t>ND-T2B556N33</t>
  </si>
  <si>
    <t>Jesse Jagz</t>
  </si>
  <si>
    <t>ND-S5C778P44</t>
  </si>
  <si>
    <t>Brymo</t>
  </si>
  <si>
    <t>ND-R8D990Q55</t>
  </si>
  <si>
    <t>Vector</t>
  </si>
  <si>
    <t>ND-Q1E112R66</t>
  </si>
  <si>
    <t>Reminisce</t>
  </si>
  <si>
    <t>ND-P4F334S77</t>
  </si>
  <si>
    <t>Phyno</t>
  </si>
  <si>
    <t>ND-O7G556T88</t>
  </si>
  <si>
    <t>Flavour N'abania</t>
  </si>
  <si>
    <t>ND-N9H778U99</t>
  </si>
  <si>
    <t>Tekno Miles</t>
  </si>
  <si>
    <t>ND-M2J990V11</t>
  </si>
  <si>
    <t>Duncan Mighty</t>
  </si>
  <si>
    <t>ND-L5K112W22</t>
  </si>
  <si>
    <t>Timaya</t>
  </si>
  <si>
    <t>ND-K8L334X33</t>
  </si>
  <si>
    <t>Terry G</t>
  </si>
  <si>
    <t>ND-J1M556Y44</t>
  </si>
  <si>
    <t>Kcee</t>
  </si>
  <si>
    <t>ND-H4N778Z55</t>
  </si>
  <si>
    <t>Harrysong</t>
  </si>
  <si>
    <t>ND-G6P990A66</t>
  </si>
  <si>
    <t>Skiibii</t>
  </si>
  <si>
    <t>ND-F9Q112B77</t>
  </si>
  <si>
    <t>Iyanya</t>
  </si>
  <si>
    <t>ND-E2R334C88</t>
  </si>
  <si>
    <t>Solidstar</t>
  </si>
  <si>
    <t>ND-D5S556D99</t>
  </si>
  <si>
    <t>Orezi</t>
  </si>
  <si>
    <t>ND-C8T778E11</t>
  </si>
  <si>
    <t>Mayorkun</t>
  </si>
  <si>
    <t>ND-B1U990F22</t>
  </si>
  <si>
    <t>Peruzzi</t>
  </si>
  <si>
    <t>ND-A4V112G33</t>
  </si>
  <si>
    <t>Dremo</t>
  </si>
  <si>
    <t>ND-Z7W334H44</t>
  </si>
  <si>
    <t>Ichaba</t>
  </si>
  <si>
    <t>ND-Y9X556J55</t>
  </si>
  <si>
    <t>Ycee</t>
  </si>
  <si>
    <t>ND-X2Y778K66</t>
  </si>
  <si>
    <t>Reekado B.</t>
  </si>
  <si>
    <t>ND-W5Z990L77</t>
  </si>
  <si>
    <t>ND-V8A112M88</t>
  </si>
  <si>
    <t>Adekunle Gold</t>
  </si>
  <si>
    <t>ND-U1B334N99</t>
  </si>
  <si>
    <t>Chike</t>
  </si>
  <si>
    <t>ND-T4C556P11</t>
  </si>
  <si>
    <t>Fireboy</t>
  </si>
  <si>
    <t>ND-S7D778Q22</t>
  </si>
  <si>
    <t>ND-R9E990R33</t>
  </si>
  <si>
    <t>Oxlade</t>
  </si>
  <si>
    <t>ND-Q2F112S44</t>
  </si>
  <si>
    <t>ND-P5G334T55</t>
  </si>
  <si>
    <t>PsychoYP</t>
  </si>
  <si>
    <t>ND-O8H556U66</t>
  </si>
  <si>
    <t>Ladipoe</t>
  </si>
  <si>
    <t>ND-N1J778V77</t>
  </si>
  <si>
    <t>Johnny Drille</t>
  </si>
  <si>
    <t>ND-M3475J89</t>
  </si>
  <si>
    <t>Grand Total</t>
  </si>
  <si>
    <t>2025</t>
  </si>
  <si>
    <t>2026</t>
  </si>
  <si>
    <t>Jan</t>
  </si>
  <si>
    <t>Feb</t>
  </si>
  <si>
    <t>Mar</t>
  </si>
  <si>
    <t>Apr</t>
  </si>
  <si>
    <t>May</t>
  </si>
  <si>
    <t>Jun</t>
  </si>
  <si>
    <t>Jul</t>
  </si>
  <si>
    <t>Aug</t>
  </si>
  <si>
    <t>Sep</t>
  </si>
  <si>
    <t>Oct</t>
  </si>
  <si>
    <t>Nov</t>
  </si>
  <si>
    <t>Dec</t>
  </si>
  <si>
    <t>Sum of Quantity</t>
  </si>
  <si>
    <t>Sum of Total</t>
  </si>
  <si>
    <t>Total Orders</t>
  </si>
  <si>
    <t>Top Category</t>
  </si>
  <si>
    <t>Categories</t>
  </si>
  <si>
    <t>Products</t>
  </si>
  <si>
    <t>Month</t>
  </si>
  <si>
    <t>Year</t>
  </si>
  <si>
    <t>Revenue</t>
  </si>
  <si>
    <t>David Obikpe</t>
  </si>
  <si>
    <t>08134015781</t>
  </si>
  <si>
    <t/>
  </si>
  <si>
    <t>Peter Obikpe</t>
  </si>
  <si>
    <t>09021972123</t>
  </si>
  <si>
    <t>ND-O6582R91</t>
  </si>
  <si>
    <t>ND-OC262X19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</si>
</sst>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_-&quot;₦&quot;* #,##0_-;\-&quot;₦&quot;* #,##0_-;_-&quot;₦&quot;* &quot;-&quot;??_-;_-@_-"/>
  </numFmts>
  <fonts count="10" x14ac:knownFonts="1">
    <font>
      <sz val="11"/>
      <color theme="1"/>
      <name val="Arial"/>
      <family val="2"/>
      <scheme val="minor"/>
    </font>
    <font>
      <b/>
      <sz val="11"/>
      <color theme="1"/>
      <name val="Arial"/>
      <family val="2"/>
      <scheme val="minor"/>
    </font>
    <font>
      <sz val="11"/>
      <color theme="1"/>
      <name val="Arial"/>
      <family val="2"/>
      <scheme val="minor"/>
    </font>
    <font>
      <b/>
      <sz val="16"/>
      <color theme="1"/>
      <name val="Arial"/>
      <family val="2"/>
      <scheme val="minor"/>
    </font>
    <font>
      <b/>
      <sz val="22"/>
      <color theme="0" tint="-0.14999847407452621"/>
      <name val="ADLaM Display"/>
    </font>
    <font>
      <b/>
      <sz val="14"/>
      <color theme="0" tint="-0.14999847407452621"/>
      <name val="Arial"/>
      <family val="2"/>
      <scheme val="minor"/>
    </font>
    <font>
      <b/>
      <sz val="11"/>
      <color theme="0" tint="-0.14999847407452621"/>
      <name val="Arial"/>
      <family val="2"/>
      <scheme val="minor"/>
    </font>
    <font>
      <sz val="11"/>
      <color rgb="FF1F1F1F"/>
      <name val="Arial"/>
      <family val="2"/>
      <scheme val="minor"/>
    </font>
    <font>
      <b/>
      <sz val="11"/>
      <color rgb="FF1F1F1F"/>
      <name val="Arial"/>
      <family val="2"/>
      <scheme val="minor"/>
    </font>
    <font>
      <sz val="11"/>
      <name val="Arial"/>
      <family val="2"/>
      <scheme val="minor"/>
    </font>
  </fonts>
  <fills count="3">
    <fill>
      <patternFill patternType="none"/>
    </fill>
    <fill>
      <patternFill patternType="gray125"/>
    </fill>
    <fill>
      <patternFill patternType="solid">
        <fgColor theme="3" tint="-0.499984740745262"/>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44" fontId="2" fillId="0" borderId="0" applyFont="0" applyFill="0" applyBorder="0" applyAlignment="0" applyProtection="0"/>
  </cellStyleXfs>
  <cellXfs count="52">
    <xf numFmtId="0" fontId="0" fillId="0" borderId="0" xfId="0"/>
    <xf numFmtId="14" fontId="0" fillId="0" borderId="0" xfId="0" applyNumberForma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1" fillId="0" borderId="4" xfId="0" applyFont="1" applyBorder="1" applyAlignment="1">
      <alignment horizontal="right"/>
    </xf>
    <xf numFmtId="14" fontId="1" fillId="0" borderId="4" xfId="0" applyNumberFormat="1" applyFont="1" applyBorder="1" applyAlignment="1">
      <alignment horizontal="right"/>
    </xf>
    <xf numFmtId="0" fontId="6" fillId="2" borderId="4" xfId="0" applyFont="1" applyFill="1" applyBorder="1"/>
    <xf numFmtId="0" fontId="6" fillId="2" borderId="0" xfId="0" applyFont="1" applyFill="1"/>
    <xf numFmtId="0" fontId="6" fillId="2" borderId="5" xfId="0" applyFont="1" applyFill="1" applyBorder="1"/>
    <xf numFmtId="0" fontId="1" fillId="0" borderId="0" xfId="0" applyFont="1"/>
    <xf numFmtId="0" fontId="0" fillId="2" borderId="0" xfId="0" applyFill="1"/>
    <xf numFmtId="0" fontId="5" fillId="2" borderId="0" xfId="0" applyFont="1" applyFill="1"/>
    <xf numFmtId="0" fontId="5" fillId="2" borderId="5" xfId="0" applyFont="1" applyFill="1" applyBorder="1"/>
    <xf numFmtId="0" fontId="8" fillId="0" borderId="0" xfId="0" applyFont="1" applyAlignment="1">
      <alignment horizontal="left" vertical="center" readingOrder="1"/>
    </xf>
    <xf numFmtId="0" fontId="8" fillId="0" borderId="0" xfId="0" applyFont="1" applyAlignment="1">
      <alignment vertical="center" readingOrder="1"/>
    </xf>
    <xf numFmtId="0" fontId="7" fillId="0" borderId="0" xfId="0" applyFont="1" applyAlignment="1">
      <alignment horizontal="left" vertical="center" readingOrder="1"/>
    </xf>
    <xf numFmtId="3" fontId="7" fillId="0" borderId="0" xfId="0" applyNumberFormat="1" applyFont="1" applyAlignment="1">
      <alignment vertical="center" readingOrder="1"/>
    </xf>
    <xf numFmtId="44" fontId="0" fillId="0" borderId="5" xfId="0" applyNumberFormat="1" applyBorder="1"/>
    <xf numFmtId="164" fontId="0" fillId="0" borderId="0" xfId="0" applyNumberFormat="1"/>
    <xf numFmtId="164" fontId="0" fillId="0" borderId="5" xfId="0" applyNumberFormat="1" applyBorder="1"/>
    <xf numFmtId="1" fontId="0" fillId="0" borderId="0" xfId="0" applyNumberFormat="1"/>
    <xf numFmtId="49" fontId="0" fillId="0" borderId="0" xfId="0" applyNumberFormat="1"/>
    <xf numFmtId="0" fontId="0" fillId="0" borderId="0" xfId="0" applyAlignment="1" applyProtection="1">
      <alignment vertical="top" wrapText="1"/>
      <protection locked="0"/>
    </xf>
    <xf numFmtId="0" fontId="0" fillId="0" borderId="0" xfId="0" applyAlignment="1" applyProtection="1">
      <alignment wrapText="1"/>
      <protection locked="0"/>
    </xf>
    <xf numFmtId="0" fontId="0" fillId="0" borderId="0" xfId="0" applyProtection="1">
      <protection locked="0"/>
    </xf>
    <xf numFmtId="0" fontId="0" fillId="0" borderId="0" xfId="0" pivotButton="1"/>
    <xf numFmtId="0" fontId="0" fillId="0" borderId="0" xfId="0" applyAlignment="1">
      <alignment horizontal="left"/>
    </xf>
    <xf numFmtId="44" fontId="0" fillId="0" borderId="0" xfId="0" applyNumberFormat="1"/>
    <xf numFmtId="164" fontId="0" fillId="0" borderId="0" xfId="1" applyNumberFormat="1" applyFont="1"/>
    <xf numFmtId="14" fontId="9" fillId="0" borderId="0" xfId="0" applyNumberFormat="1" applyFont="1"/>
    <xf numFmtId="0" fontId="5" fillId="0" borderId="0" xfId="0" applyFont="1" applyAlignment="1">
      <alignment horizontal="left"/>
    </xf>
    <xf numFmtId="0" fontId="1" fillId="0" borderId="0" xfId="0" applyFont="1" applyAlignment="1">
      <alignment horizontal="center"/>
    </xf>
    <xf numFmtId="0" fontId="0" fillId="0" borderId="0" xfId="0" applyAlignment="1" applyProtection="1">
      <alignment horizontal="center"/>
      <protection locked="0"/>
    </xf>
    <xf numFmtId="0" fontId="0" fillId="0" borderId="0" xfId="0"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14" fontId="0" fillId="0" borderId="0" xfId="0" applyNumberFormat="1" applyAlignment="1" applyProtection="1">
      <alignment horizontal="left"/>
      <protection locked="0"/>
    </xf>
    <xf numFmtId="0" fontId="5" fillId="2" borderId="4" xfId="0" applyFont="1" applyFill="1" applyBorder="1" applyAlignment="1">
      <alignment horizontal="right"/>
    </xf>
    <xf numFmtId="0" fontId="5" fillId="2" borderId="0" xfId="0" applyFont="1" applyFill="1" applyAlignment="1">
      <alignment horizontal="right"/>
    </xf>
    <xf numFmtId="0" fontId="5" fillId="2" borderId="0" xfId="0" applyFont="1" applyFill="1" applyAlignment="1">
      <alignment horizontal="left"/>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0" fillId="0" borderId="4" xfId="0" applyBorder="1" applyAlignment="1">
      <alignment horizontal="center"/>
    </xf>
    <xf numFmtId="0" fontId="0" fillId="0" borderId="5" xfId="0" applyBorder="1" applyAlignment="1">
      <alignment horizontal="center"/>
    </xf>
    <xf numFmtId="0" fontId="3" fillId="0" borderId="0" xfId="0" applyFont="1" applyAlignment="1">
      <alignment horizontal="left" vertical="top"/>
    </xf>
    <xf numFmtId="0" fontId="3" fillId="0" borderId="5" xfId="0" applyFont="1" applyBorder="1" applyAlignment="1">
      <alignment horizontal="left" vertical="top"/>
    </xf>
    <xf numFmtId="0" fontId="0" fillId="0" borderId="0" xfId="0" applyAlignment="1" applyProtection="1">
      <alignment horizontal="left"/>
      <protection locked="0"/>
    </xf>
    <xf numFmtId="49" fontId="0" fillId="0" borderId="0" xfId="0" applyNumberFormat="1" applyAlignment="1" applyProtection="1">
      <alignment horizontal="left"/>
      <protection locked="0"/>
    </xf>
  </cellXfs>
  <cellStyles count="2">
    <cellStyle name="Currency" xfId="1" builtinId="4"/>
    <cellStyle name="Normal" xfId="0" builtinId="0"/>
  </cellStyles>
  <dxfs count="15">
    <dxf>
      <numFmt numFmtId="164" formatCode="_-&quot;₦&quot;* #,##0_-;\-&quot;₦&quot;* #,##0_-;_-&quot;₦&quot;* &quot;-&quot;??_-;_-@_-"/>
    </dxf>
    <dxf>
      <numFmt numFmtId="164" formatCode="_-&quot;₦&quot;* #,##0_-;\-&quot;₦&quot;* #,##0_-;_-&quot;₦&quot;* &quot;-&quot;??_-;_-@_-"/>
    </dxf>
    <dxf>
      <numFmt numFmtId="164" formatCode="_-&quot;₦&quot;* #,##0_-;\-&quot;₦&quot;* #,##0_-;_-&quot;₦&quot;* &quot;-&quot;??_-;_-@_-"/>
    </dxf>
    <dxf>
      <numFmt numFmtId="164" formatCode="_-&quot;₦&quot;* #,##0_-;\-&quot;₦&quot;* #,##0_-;_-&quot;₦&quot;* &quot;-&quot;??_-;_-@_-"/>
    </dxf>
    <dxf>
      <numFmt numFmtId="30" formatCode="@"/>
    </dxf>
    <dxf>
      <font>
        <b val="0"/>
        <i val="0"/>
        <strike val="0"/>
        <condense val="0"/>
        <extend val="0"/>
        <outline val="0"/>
        <shadow val="0"/>
        <u val="none"/>
        <vertAlign val="baseline"/>
        <sz val="11"/>
        <color theme="1"/>
        <name val="Arial"/>
        <family val="2"/>
        <scheme val="minor"/>
      </font>
      <numFmt numFmtId="164" formatCode="_-&quot;₦&quot;* #,##0_-;\-&quot;₦&quot;* #,##0_-;_-&quot;₦&quot;* &quot;-&quot;??_-;_-@_-"/>
    </dxf>
    <dxf>
      <font>
        <b val="0"/>
        <i val="0"/>
        <strike val="0"/>
        <condense val="0"/>
        <extend val="0"/>
        <outline val="0"/>
        <shadow val="0"/>
        <u val="none"/>
        <vertAlign val="baseline"/>
        <sz val="11"/>
        <color theme="1"/>
        <name val="Arial"/>
        <family val="2"/>
        <scheme val="minor"/>
      </font>
      <numFmt numFmtId="164" formatCode="_-&quot;₦&quot;* #,##0_-;\-&quot;₦&quot;* #,##0_-;_-&quot;₦&quot;* &quot;-&quot;??_-;_-@_-"/>
    </dxf>
    <dxf>
      <numFmt numFmtId="30" formatCode="@"/>
    </dxf>
    <dxf>
      <numFmt numFmtId="30" formatCode="@"/>
    </dxf>
    <dxf>
      <numFmt numFmtId="30" formatCode="@"/>
    </dxf>
    <dxf>
      <numFmt numFmtId="30" formatCode="@"/>
    </dxf>
    <dxf>
      <numFmt numFmtId="30" formatCode="@"/>
    </dxf>
    <dxf>
      <numFmt numFmtId="30" formatCode="@"/>
    </dxf>
    <dxf>
      <numFmt numFmtId="0" formatCode="General"/>
    </dxf>
    <dxf>
      <font>
        <b/>
        <i val="0"/>
        <strike val="0"/>
        <condense val="0"/>
        <extend val="0"/>
        <outline val="0"/>
        <shadow val="0"/>
        <u val="none"/>
        <vertAlign val="baseline"/>
        <sz val="11"/>
        <color theme="0" tint="-0.14999847407452621"/>
        <name val="Arial"/>
        <family val="2"/>
        <scheme val="minor"/>
      </font>
      <fill>
        <patternFill patternType="solid">
          <fgColor indexed="64"/>
          <bgColor theme="3"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[bus115_exam_5801004.xlsm]Pivot Table!PivotTable5</c:name>
    <c:fmtId val="0"/>
  </c:pivotSource>
  <c:chart>
    <c:title>
      <c:tx>
        <c:rich>
          <a:bodyPr rot="0" spcFirstLastPara="1" vertOverflow="ellipsis" vert="horz" wrap="square" anchor="ctr" anchorCtr="1"/>
          <a:lstStyle/>
          <a:p>
            <a:pPr>
              <a:defRPr sz="1100" b="1" i="0" u="none" strike="noStrike" kern="1200" cap="all" spc="50" baseline="0">
                <a:solidFill>
                  <a:schemeClr val="tx1">
                    <a:lumMod val="95000"/>
                    <a:lumOff val="5000"/>
                  </a:schemeClr>
                </a:solidFill>
                <a:latin typeface="+mn-lt"/>
                <a:ea typeface="+mn-ea"/>
                <a:cs typeface="+mn-cs"/>
              </a:defRPr>
            </a:pPr>
            <a:r>
              <a:rPr lang="en-US" sz="1100" b="1" i="0" u="none" strike="noStrike" cap="all" baseline="0">
                <a:solidFill>
                  <a:schemeClr val="tx1">
                    <a:lumMod val="95000"/>
                    <a:lumOff val="5000"/>
                  </a:schemeClr>
                </a:solidFill>
              </a:rPr>
              <a:t>Revenue by Payment Method</a:t>
            </a:r>
            <a:endParaRPr lang="en-US" sz="1100">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100" b="1" i="0" u="none" strike="noStrike" kern="1200" cap="all" spc="5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tx2">
              <a:lumMod val="50000"/>
            </a:schemeClr>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tx2">
              <a:lumMod val="60000"/>
              <a:lumOff val="40000"/>
            </a:schemeClr>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bg2">
              <a:lumMod val="50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Table'!$I$13</c:f>
              <c:strCache>
                <c:ptCount val="1"/>
                <c:pt idx="0">
                  <c:v>Total</c:v>
                </c:pt>
              </c:strCache>
            </c:strRef>
          </c:tx>
          <c:dPt>
            <c:idx val="0"/>
            <c:bubble3D val="0"/>
            <c:spPr>
              <a:solidFill>
                <a:schemeClr val="tx2">
                  <a:lumMod val="60000"/>
                  <a:lumOff val="4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4-C5FE-4168-99C7-9D25475FF046}"/>
              </c:ext>
            </c:extLst>
          </c:dPt>
          <c:dPt>
            <c:idx val="1"/>
            <c:bubble3D val="0"/>
            <c:spPr>
              <a:solidFill>
                <a:schemeClr val="bg2">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5FE-4168-99C7-9D25475FF046}"/>
              </c:ext>
            </c:extLst>
          </c:dPt>
          <c:dPt>
            <c:idx val="2"/>
            <c:bubble3D val="0"/>
            <c:spPr>
              <a:solidFill>
                <a:schemeClr val="tx2">
                  <a:lumMod val="5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5FE-4168-99C7-9D25475FF04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NG"/>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Table'!$H$14:$H$17</c:f>
              <c:strCache>
                <c:ptCount val="3"/>
                <c:pt idx="0">
                  <c:v>Cash</c:v>
                </c:pt>
                <c:pt idx="1">
                  <c:v>POS</c:v>
                </c:pt>
                <c:pt idx="2">
                  <c:v>Transfer</c:v>
                </c:pt>
              </c:strCache>
            </c:strRef>
          </c:cat>
          <c:val>
            <c:numRef>
              <c:f>'Pivot Table'!$I$14:$I$17</c:f>
              <c:numCache>
                <c:formatCode>_-"₦"* #,##0_-;\-"₦"* #,##0_-;_-"₦"* "-"??_-;_-@_-</c:formatCode>
                <c:ptCount val="3"/>
                <c:pt idx="0">
                  <c:v>26320000</c:v>
                </c:pt>
                <c:pt idx="1">
                  <c:v>45380000</c:v>
                </c:pt>
                <c:pt idx="2">
                  <c:v>65720000</c:v>
                </c:pt>
              </c:numCache>
            </c:numRef>
          </c:val>
          <c:extLst>
            <c:ext xmlns:c16="http://schemas.microsoft.com/office/drawing/2014/chart" uri="{C3380CC4-5D6E-409C-BE32-E72D297353CC}">
              <c16:uniqueId val="{00000000-C5FE-4168-99C7-9D25475FF046}"/>
            </c:ext>
          </c:extLst>
        </c:ser>
        <c:dLbls>
          <c:showLegendKey val="0"/>
          <c:showVal val="0"/>
          <c:showCatName val="0"/>
          <c:showSerName val="0"/>
          <c:showPercent val="1"/>
          <c:showBubbleSize val="0"/>
          <c:showLeaderLines val="1"/>
        </c:dLbls>
        <c:firstSliceAng val="0"/>
        <c:holeSize val="48"/>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700" b="0" i="0" u="none" strike="noStrike" kern="1200" baseline="0">
              <a:solidFill>
                <a:schemeClr val="tx1">
                  <a:lumMod val="95000"/>
                  <a:lumOff val="5000"/>
                </a:schemeClr>
              </a:solidFill>
              <a:latin typeface="+mn-lt"/>
              <a:ea typeface="+mn-ea"/>
              <a:cs typeface="+mn-cs"/>
            </a:defRPr>
          </a:pPr>
          <a:endParaRPr lang="en-NG"/>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[bus115_exam_5801004.xlsm]Pivot Table!PivotTable3</c:name>
    <c:fmtId val="0"/>
  </c:pivotSource>
  <c:chart>
    <c:title>
      <c:tx>
        <c:rich>
          <a:bodyPr rot="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r>
              <a:rPr lang="en-US" sz="1200">
                <a:solidFill>
                  <a:schemeClr val="tx1">
                    <a:lumMod val="95000"/>
                    <a:lumOff val="5000"/>
                  </a:schemeClr>
                </a:solidFill>
              </a:rPr>
              <a:t>Top</a:t>
            </a:r>
            <a:r>
              <a:rPr lang="en-US" sz="1200" baseline="0">
                <a:solidFill>
                  <a:schemeClr val="tx1">
                    <a:lumMod val="95000"/>
                    <a:lumOff val="5000"/>
                  </a:schemeClr>
                </a:solidFill>
              </a:rPr>
              <a:t> 10 Best Selling Products</a:t>
            </a:r>
            <a:endParaRPr lang="en-US" sz="1200">
              <a:solidFill>
                <a:schemeClr val="tx1">
                  <a:lumMod val="95000"/>
                  <a:lumOff val="5000"/>
                </a:schemeClr>
              </a:solidFill>
            </a:endParaRP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tx2">
              <a:lumMod val="50000"/>
            </a:schemeClr>
          </a:soli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Table'!$F$3</c:f>
              <c:strCache>
                <c:ptCount val="1"/>
                <c:pt idx="0">
                  <c:v>Total</c:v>
                </c:pt>
              </c:strCache>
            </c:strRef>
          </c:tx>
          <c:spPr>
            <a:solidFill>
              <a:schemeClr val="tx2">
                <a:lumMod val="50000"/>
              </a:schemeClr>
            </a:solidFill>
            <a:ln>
              <a:noFill/>
            </a:ln>
            <a:effectLst>
              <a:outerShdw blurRad="57150" dist="19050" dir="5400000" algn="ctr" rotWithShape="0">
                <a:srgbClr val="000000">
                  <a:alpha val="63000"/>
                </a:srgbClr>
              </a:outerShdw>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'Pivot Table'!$E$4:$E$14</c:f>
              <c:strCache>
                <c:ptCount val="10"/>
                <c:pt idx="0">
                  <c:v>MacBook Pro 16" (M3 Max)</c:v>
                </c:pt>
                <c:pt idx="1">
                  <c:v>MacBook Pro 14" (M3 Pro)</c:v>
                </c:pt>
                <c:pt idx="2">
                  <c:v>iPhone 15 Pro (128GB)</c:v>
                </c:pt>
                <c:pt idx="3">
                  <c:v>MacBook Air 13" (M1)</c:v>
                </c:pt>
                <c:pt idx="4">
                  <c:v>iPhone 15 Pro Max (256GB)</c:v>
                </c:pt>
                <c:pt idx="5">
                  <c:v>LG 65" OLED C3</c:v>
                </c:pt>
                <c:pt idx="6">
                  <c:v>MacBook Air 15" (M3)</c:v>
                </c:pt>
                <c:pt idx="7">
                  <c:v>iPhone 14 Pro Max (256GB)</c:v>
                </c:pt>
                <c:pt idx="8">
                  <c:v>Lenovo ThinkPad X1 Carbon</c:v>
                </c:pt>
                <c:pt idx="9">
                  <c:v>Samsung 75" Crystal UHD</c:v>
                </c:pt>
              </c:strCache>
            </c:strRef>
          </c:cat>
          <c:val>
            <c:numRef>
              <c:f>'Pivot Table'!$F$4:$F$14</c:f>
              <c:numCache>
                <c:formatCode>_-"₦"* #,##0_-;\-"₦"* #,##0_-;_-"₦"* "-"??_-;_-@_-</c:formatCode>
                <c:ptCount val="10"/>
                <c:pt idx="0">
                  <c:v>12600000</c:v>
                </c:pt>
                <c:pt idx="1">
                  <c:v>8550000</c:v>
                </c:pt>
                <c:pt idx="2">
                  <c:v>8250000</c:v>
                </c:pt>
                <c:pt idx="3">
                  <c:v>7600000</c:v>
                </c:pt>
                <c:pt idx="4">
                  <c:v>7600000</c:v>
                </c:pt>
                <c:pt idx="5">
                  <c:v>7400000</c:v>
                </c:pt>
                <c:pt idx="6">
                  <c:v>5850000</c:v>
                </c:pt>
                <c:pt idx="7">
                  <c:v>5800000</c:v>
                </c:pt>
                <c:pt idx="8">
                  <c:v>5400000</c:v>
                </c:pt>
                <c:pt idx="9">
                  <c:v>4800000</c:v>
                </c:pt>
              </c:numCache>
            </c:numRef>
          </c:val>
          <c:extLst>
            <c:ext xmlns:c16="http://schemas.microsoft.com/office/drawing/2014/chart" uri="{C3380CC4-5D6E-409C-BE32-E72D297353CC}">
              <c16:uniqueId val="{00000000-1026-4D0E-BF2D-833129BEDECD}"/>
            </c:ext>
          </c:extLst>
        </c:ser>
        <c:dLbls>
          <c:showLegendKey val="0"/>
          <c:showVal val="0"/>
          <c:showCatName val="0"/>
          <c:showSerName val="0"/>
          <c:showPercent val="0"/>
          <c:showBubbleSize val="0"/>
        </c:dLbls>
        <c:gapWidth val="100"/>
        <c:overlap val="-24"/>
        <c:axId val="147870127"/>
        <c:axId val="147861007"/>
      </c:barChart>
      <c:catAx>
        <c:axId val="14787012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95000"/>
                    <a:lumOff val="5000"/>
                  </a:schemeClr>
                </a:solidFill>
                <a:latin typeface="+mn-lt"/>
                <a:ea typeface="+mn-ea"/>
                <a:cs typeface="+mn-cs"/>
              </a:defRPr>
            </a:pPr>
            <a:endParaRPr lang="en-NG"/>
          </a:p>
        </c:txPr>
        <c:crossAx val="147861007"/>
        <c:crosses val="autoZero"/>
        <c:auto val="1"/>
        <c:lblAlgn val="ctr"/>
        <c:lblOffset val="100"/>
        <c:noMultiLvlLbl val="0"/>
      </c:catAx>
      <c:valAx>
        <c:axId val="147861007"/>
        <c:scaling>
          <c:orientation val="minMax"/>
        </c:scaling>
        <c:delete val="0"/>
        <c:axPos val="l"/>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NG"/>
          </a:p>
        </c:txPr>
        <c:crossAx val="147870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[bus115_exam_5801004.xlsm]Pivot Table!PivotTable1</c:name>
    <c:fmtId val="0"/>
  </c:pivotSource>
  <c:chart>
    <c:title>
      <c:tx>
        <c:rich>
          <a:bodyPr rot="0" spcFirstLastPara="1" vertOverflow="ellipsis" vert="horz" wrap="square" anchor="ctr" anchorCtr="1"/>
          <a:lstStyle/>
          <a:p>
            <a:pPr>
              <a:defRPr sz="1600" b="1" i="0" u="none" strike="noStrike" kern="1200" spc="0" baseline="0">
                <a:solidFill>
                  <a:schemeClr val="tx1">
                    <a:lumMod val="95000"/>
                    <a:lumOff val="5000"/>
                  </a:schemeClr>
                </a:solidFill>
                <a:latin typeface="+mn-lt"/>
                <a:ea typeface="+mn-ea"/>
                <a:cs typeface="+mn-cs"/>
              </a:defRPr>
            </a:pPr>
            <a:r>
              <a:rPr lang="en-US" sz="1600" b="1">
                <a:solidFill>
                  <a:schemeClr val="tx1">
                    <a:lumMod val="95000"/>
                    <a:lumOff val="5000"/>
                  </a:schemeClr>
                </a:solidFill>
              </a:rPr>
              <a:t>Sales Trend Over Time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95000"/>
                  <a:lumOff val="5000"/>
                </a:schemeClr>
              </a:solidFill>
              <a:latin typeface="+mn-lt"/>
              <a:ea typeface="+mn-ea"/>
              <a:cs typeface="+mn-cs"/>
            </a:defRPr>
          </a:pPr>
          <a:endParaRPr lang="en-NG"/>
        </a:p>
      </c:txPr>
    </c:title>
    <c:autoTitleDeleted val="0"/>
    <c:pivotFmts>
      <c:pivotFmt>
        <c:idx val="0"/>
        <c:spPr>
          <a:ln w="38100" cap="rnd">
            <a:solidFill>
              <a:schemeClr val="tx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c:f>
              <c:strCache>
                <c:ptCount val="1"/>
                <c:pt idx="0">
                  <c:v>Total</c:v>
                </c:pt>
              </c:strCache>
            </c:strRef>
          </c:tx>
          <c:spPr>
            <a:ln w="38100" cap="rnd">
              <a:solidFill>
                <a:schemeClr val="tx2">
                  <a:lumMod val="50000"/>
                </a:schemeClr>
              </a:solidFill>
              <a:round/>
            </a:ln>
            <a:effectLst/>
          </c:spPr>
          <c:marker>
            <c:symbol val="none"/>
          </c:marker>
          <c:trendline>
            <c:spPr>
              <a:ln w="19050" cap="rnd">
                <a:solidFill>
                  <a:schemeClr val="accent1"/>
                </a:solidFill>
                <a:prstDash val="sysDot"/>
              </a:ln>
              <a:effectLst/>
            </c:spPr>
            <c:trendlineType val="linear"/>
            <c:dispRSqr val="0"/>
            <c:dispEq val="0"/>
          </c:trendline>
          <c:trendline>
            <c:spPr>
              <a:ln w="19050" cap="rnd">
                <a:solidFill>
                  <a:schemeClr val="bg2">
                    <a:lumMod val="50000"/>
                  </a:schemeClr>
                </a:solidFill>
                <a:prstDash val="sysDot"/>
              </a:ln>
              <a:effectLst/>
            </c:spPr>
            <c:trendlineType val="linear"/>
            <c:dispRSqr val="0"/>
            <c:dispEq val="1"/>
            <c:trendlineLbl>
              <c:layout>
                <c:manualLayout>
                  <c:x val="6.6336176727909008E-2"/>
                  <c:y val="-0.3982405094583729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NG"/>
                </a:p>
              </c:txPr>
            </c:trendlineLbl>
          </c:trendline>
          <c:cat>
            <c:strRef>
              <c:f>'Pivot Table'!$A$4:$A$16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Table'!$B$4:$B$16</c:f>
              <c:numCache>
                <c:formatCode>_-"₦"* #,##0_-;\-"₦"* #,##0_-;_-"₦"* "-"??_-;_-@_-</c:formatCode>
                <c:ptCount val="12"/>
                <c:pt idx="0">
                  <c:v>15330000</c:v>
                </c:pt>
                <c:pt idx="1">
                  <c:v>15750000</c:v>
                </c:pt>
                <c:pt idx="2">
                  <c:v>17420000</c:v>
                </c:pt>
                <c:pt idx="3">
                  <c:v>9800000</c:v>
                </c:pt>
                <c:pt idx="4">
                  <c:v>7980000</c:v>
                </c:pt>
                <c:pt idx="5">
                  <c:v>5930000</c:v>
                </c:pt>
                <c:pt idx="6">
                  <c:v>12930000</c:v>
                </c:pt>
                <c:pt idx="7">
                  <c:v>10460000</c:v>
                </c:pt>
                <c:pt idx="8">
                  <c:v>9630000</c:v>
                </c:pt>
                <c:pt idx="9">
                  <c:v>13500000</c:v>
                </c:pt>
                <c:pt idx="10">
                  <c:v>7330000</c:v>
                </c:pt>
                <c:pt idx="11">
                  <c:v>11360000</c:v>
                </c:pt>
              </c:numCache>
            </c:numRef>
          </c:val>
          <c:smooth val="0"/>
          <c:extLst>
            <c:ext xmlns:c16="http://schemas.microsoft.com/office/drawing/2014/chart" uri="{C3380CC4-5D6E-409C-BE32-E72D297353CC}">
              <c16:uniqueId val="{0000001B-984A-4DCC-BEFC-133ACABD586E}"/>
            </c:ext>
          </c:extLst>
        </c:ser>
        <c:dLbls>
          <c:showLegendKey val="0"/>
          <c:showVal val="0"/>
          <c:showCatName val="0"/>
          <c:showSerName val="0"/>
          <c:showPercent val="0"/>
          <c:showBubbleSize val="0"/>
        </c:dLbls>
        <c:smooth val="0"/>
        <c:axId val="152867823"/>
        <c:axId val="152849583"/>
      </c:lineChart>
      <c:catAx>
        <c:axId val="152867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NG"/>
          </a:p>
        </c:txPr>
        <c:crossAx val="152849583"/>
        <c:crosses val="autoZero"/>
        <c:auto val="1"/>
        <c:lblAlgn val="ctr"/>
        <c:lblOffset val="100"/>
        <c:noMultiLvlLbl val="0"/>
      </c:catAx>
      <c:valAx>
        <c:axId val="152849583"/>
        <c:scaling>
          <c:orientation val="minMax"/>
        </c:scaling>
        <c:delete val="0"/>
        <c:axPos val="l"/>
        <c:numFmt formatCode="_-&quot;₦&quot;* #,##0_-;\-&quot;₦&quot;* #,##0_-;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NG"/>
          </a:p>
        </c:txPr>
        <c:crossAx val="152867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Settings!A1"/><Relationship Id="rId2" Type="http://schemas.openxmlformats.org/officeDocument/2006/relationships/hyperlink" Target="#Products!A1"/><Relationship Id="rId1" Type="http://schemas.openxmlformats.org/officeDocument/2006/relationships/hyperlink" Target="#Sales_Data!A1"/><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10207</xdr:rowOff>
    </xdr:from>
    <xdr:to>
      <xdr:col>16</xdr:col>
      <xdr:colOff>190500</xdr:colOff>
      <xdr:row>28</xdr:row>
      <xdr:rowOff>105457</xdr:rowOff>
    </xdr:to>
    <xdr:sp macro="" textlink="">
      <xdr:nvSpPr>
        <xdr:cNvPr id="2" name="Rectangle: Rounded Corners 1">
          <a:extLst>
            <a:ext uri="{FF2B5EF4-FFF2-40B4-BE49-F238E27FC236}">
              <a16:creationId xmlns:a16="http://schemas.microsoft.com/office/drawing/2014/main" id="{AF372F7A-828C-55E7-DD29-669570E56C63}"/>
            </a:ext>
          </a:extLst>
        </xdr:cNvPr>
        <xdr:cNvSpPr/>
      </xdr:nvSpPr>
      <xdr:spPr>
        <a:xfrm>
          <a:off x="0" y="10207"/>
          <a:ext cx="11076214" cy="5048250"/>
        </a:xfrm>
        <a:prstGeom prst="roundRect">
          <a:avLst>
            <a:gd name="adj" fmla="val 4936"/>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G" sz="1100"/>
        </a:p>
      </xdr:txBody>
    </xdr:sp>
    <xdr:clientData/>
  </xdr:twoCellAnchor>
  <xdr:twoCellAnchor>
    <xdr:from>
      <xdr:col>0</xdr:col>
      <xdr:colOff>1</xdr:colOff>
      <xdr:row>5</xdr:row>
      <xdr:rowOff>128832</xdr:rowOff>
    </xdr:from>
    <xdr:to>
      <xdr:col>1</xdr:col>
      <xdr:colOff>429560</xdr:colOff>
      <xdr:row>8</xdr:row>
      <xdr:rowOff>145353</xdr:rowOff>
    </xdr:to>
    <xdr:sp macro="" textlink="">
      <xdr:nvSpPr>
        <xdr:cNvPr id="3" name="Rectangle 2">
          <a:extLst>
            <a:ext uri="{FF2B5EF4-FFF2-40B4-BE49-F238E27FC236}">
              <a16:creationId xmlns:a16="http://schemas.microsoft.com/office/drawing/2014/main" id="{27EB6A76-B8C2-4747-89C1-85CBC00905C0}"/>
            </a:ext>
          </a:extLst>
        </xdr:cNvPr>
        <xdr:cNvSpPr/>
      </xdr:nvSpPr>
      <xdr:spPr>
        <a:xfrm>
          <a:off x="1" y="1013296"/>
          <a:ext cx="1109916" cy="547200"/>
        </a:xfrm>
        <a:prstGeom prst="rect">
          <a:avLst/>
        </a:prstGeom>
        <a:solidFill>
          <a:schemeClr val="tx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US" sz="1400" b="1"/>
            <a:t>Overview</a:t>
          </a:r>
          <a:endParaRPr lang="en-NG" sz="1400" b="1"/>
        </a:p>
      </xdr:txBody>
    </xdr:sp>
    <xdr:clientData/>
  </xdr:twoCellAnchor>
  <xdr:twoCellAnchor>
    <xdr:from>
      <xdr:col>0</xdr:col>
      <xdr:colOff>24496</xdr:colOff>
      <xdr:row>9</xdr:row>
      <xdr:rowOff>87741</xdr:rowOff>
    </xdr:from>
    <xdr:to>
      <xdr:col>1</xdr:col>
      <xdr:colOff>452939</xdr:colOff>
      <xdr:row>12</xdr:row>
      <xdr:rowOff>104263</xdr:rowOff>
    </xdr:to>
    <xdr:sp macro="" textlink="">
      <xdr:nvSpPr>
        <xdr:cNvPr id="7" name="Rectangle 6">
          <a:hlinkClick xmlns:r="http://schemas.openxmlformats.org/officeDocument/2006/relationships" r:id="rId1"/>
          <a:extLst>
            <a:ext uri="{FF2B5EF4-FFF2-40B4-BE49-F238E27FC236}">
              <a16:creationId xmlns:a16="http://schemas.microsoft.com/office/drawing/2014/main" id="{BDAE8DFC-4DB6-4A85-8045-1AC954A635CE}"/>
            </a:ext>
          </a:extLst>
        </xdr:cNvPr>
        <xdr:cNvSpPr/>
      </xdr:nvSpPr>
      <xdr:spPr>
        <a:xfrm>
          <a:off x="24496" y="1679777"/>
          <a:ext cx="1108800" cy="547200"/>
        </a:xfrm>
        <a:prstGeom prst="rect">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US" sz="1400" b="1"/>
            <a:t>Sales records</a:t>
          </a:r>
          <a:endParaRPr lang="en-NG" sz="1400" b="1"/>
        </a:p>
      </xdr:txBody>
    </xdr:sp>
    <xdr:clientData fLocksWithSheet="0"/>
  </xdr:twoCellAnchor>
  <xdr:twoCellAnchor>
    <xdr:from>
      <xdr:col>0</xdr:col>
      <xdr:colOff>24496</xdr:colOff>
      <xdr:row>13</xdr:row>
      <xdr:rowOff>37395</xdr:rowOff>
    </xdr:from>
    <xdr:to>
      <xdr:col>1</xdr:col>
      <xdr:colOff>452939</xdr:colOff>
      <xdr:row>16</xdr:row>
      <xdr:rowOff>53916</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125925CE-6464-991B-240F-5389F3F09FE2}"/>
            </a:ext>
          </a:extLst>
        </xdr:cNvPr>
        <xdr:cNvSpPr/>
      </xdr:nvSpPr>
      <xdr:spPr>
        <a:xfrm>
          <a:off x="24496" y="2337002"/>
          <a:ext cx="1108800" cy="547200"/>
        </a:xfrm>
        <a:prstGeom prst="rect">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prst="angle"/>
          </a:sp3d>
        </a:bodyPr>
        <a:lstStyle/>
        <a:p>
          <a:pPr algn="ctr"/>
          <a:r>
            <a:rPr lang="en-US" sz="1400" b="1"/>
            <a:t>Inventory</a:t>
          </a:r>
        </a:p>
      </xdr:txBody>
    </xdr:sp>
    <xdr:clientData fLocksWithSheet="0"/>
  </xdr:twoCellAnchor>
  <xdr:twoCellAnchor>
    <xdr:from>
      <xdr:col>0</xdr:col>
      <xdr:colOff>24496</xdr:colOff>
      <xdr:row>16</xdr:row>
      <xdr:rowOff>169383</xdr:rowOff>
    </xdr:from>
    <xdr:to>
      <xdr:col>1</xdr:col>
      <xdr:colOff>452939</xdr:colOff>
      <xdr:row>20</xdr:row>
      <xdr:rowOff>9012</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5699147-DACF-6831-D4BB-A4FCF31FF1F1}"/>
            </a:ext>
          </a:extLst>
        </xdr:cNvPr>
        <xdr:cNvSpPr/>
      </xdr:nvSpPr>
      <xdr:spPr>
        <a:xfrm>
          <a:off x="24496" y="2999669"/>
          <a:ext cx="1108800" cy="547200"/>
        </a:xfrm>
        <a:prstGeom prst="rect">
          <a:avLst/>
        </a:prstGeom>
        <a:solidFill>
          <a:schemeClr val="bg1">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a:sp3d>
        </a:bodyPr>
        <a:lstStyle/>
        <a:p>
          <a:pPr algn="ctr"/>
          <a:r>
            <a:rPr lang="en-US" sz="1400" b="1"/>
            <a:t>Settings</a:t>
          </a:r>
        </a:p>
      </xdr:txBody>
    </xdr:sp>
    <xdr:clientData fLocksWithSheet="0"/>
  </xdr:twoCellAnchor>
  <xdr:twoCellAnchor>
    <xdr:from>
      <xdr:col>2</xdr:col>
      <xdr:colOff>149680</xdr:colOff>
      <xdr:row>7</xdr:row>
      <xdr:rowOff>23783</xdr:rowOff>
    </xdr:from>
    <xdr:to>
      <xdr:col>4</xdr:col>
      <xdr:colOff>530679</xdr:colOff>
      <xdr:row>8</xdr:row>
      <xdr:rowOff>143013</xdr:rowOff>
    </xdr:to>
    <xdr:sp macro="" textlink="'Pivot Table'!B1">
      <xdr:nvSpPr>
        <xdr:cNvPr id="10" name="Rectangle 9">
          <a:extLst>
            <a:ext uri="{FF2B5EF4-FFF2-40B4-BE49-F238E27FC236}">
              <a16:creationId xmlns:a16="http://schemas.microsoft.com/office/drawing/2014/main" id="{CD8C32CB-C9C1-BBFF-575F-553DA0283D91}"/>
            </a:ext>
          </a:extLst>
        </xdr:cNvPr>
        <xdr:cNvSpPr/>
      </xdr:nvSpPr>
      <xdr:spPr>
        <a:xfrm>
          <a:off x="1510394" y="1262033"/>
          <a:ext cx="1741714" cy="296123"/>
        </a:xfrm>
        <a:prstGeom prst="rect">
          <a:avLst/>
        </a:prstGeom>
        <a:solidFill>
          <a:schemeClr val="tx2">
            <a:lumMod val="50000"/>
          </a:schemeClr>
        </a:solidFill>
        <a:effectLst>
          <a:outerShdw blurRad="63500" sx="102000" sy="102000" algn="ctr"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fld id="{E764CE47-95E9-4EA4-AACA-6838035AC49B}" type="TxLink">
            <a:rPr lang="en-US" sz="1400" b="1" i="0" u="none" strike="noStrike">
              <a:solidFill>
                <a:schemeClr val="bg1"/>
              </a:solidFill>
              <a:latin typeface="Aptos Black" panose="020F0502020204030204" pitchFamily="34" charset="0"/>
              <a:cs typeface="Arial"/>
            </a:rPr>
            <a:pPr algn="ctr"/>
            <a:t> </a:t>
          </a:fld>
          <a:endParaRPr lang="en-NG" sz="1400" b="1">
            <a:solidFill>
              <a:schemeClr val="bg1"/>
            </a:solidFill>
            <a:latin typeface="Aptos Black" panose="020F0502020204030204" pitchFamily="34" charset="0"/>
          </a:endParaRPr>
        </a:p>
      </xdr:txBody>
    </xdr:sp>
    <xdr:clientData/>
  </xdr:twoCellAnchor>
  <xdr:twoCellAnchor>
    <xdr:from>
      <xdr:col>2</xdr:col>
      <xdr:colOff>154566</xdr:colOff>
      <xdr:row>5</xdr:row>
      <xdr:rowOff>91818</xdr:rowOff>
    </xdr:from>
    <xdr:to>
      <xdr:col>4</xdr:col>
      <xdr:colOff>530679</xdr:colOff>
      <xdr:row>6</xdr:row>
      <xdr:rowOff>174289</xdr:rowOff>
    </xdr:to>
    <xdr:sp macro="" textlink="">
      <xdr:nvSpPr>
        <xdr:cNvPr id="14" name="Rectangle 13">
          <a:extLst>
            <a:ext uri="{FF2B5EF4-FFF2-40B4-BE49-F238E27FC236}">
              <a16:creationId xmlns:a16="http://schemas.microsoft.com/office/drawing/2014/main" id="{F2C343A8-0A96-D41D-0345-F001A0B83225}"/>
            </a:ext>
          </a:extLst>
        </xdr:cNvPr>
        <xdr:cNvSpPr/>
      </xdr:nvSpPr>
      <xdr:spPr>
        <a:xfrm>
          <a:off x="1515280" y="976282"/>
          <a:ext cx="1736828" cy="259364"/>
        </a:xfrm>
        <a:prstGeom prst="rect">
          <a:avLst/>
        </a:prstGeom>
        <a:solidFill>
          <a:schemeClr val="tx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38100" h="38100" prst="convex"/>
          </a:sp3d>
        </a:bodyPr>
        <a:lstStyle/>
        <a:p>
          <a:pPr algn="ctr"/>
          <a:r>
            <a:rPr lang="en-US" sz="1600" b="1">
              <a:effectLst>
                <a:outerShdw blurRad="63500" sx="102000" sy="102000" algn="ctr" rotWithShape="0">
                  <a:prstClr val="black">
                    <a:alpha val="40000"/>
                  </a:prstClr>
                </a:outerShdw>
              </a:effectLst>
            </a:rPr>
            <a:t>Total</a:t>
          </a:r>
          <a:r>
            <a:rPr lang="en-US" sz="1600" b="1" baseline="0">
              <a:effectLst>
                <a:outerShdw blurRad="63500" sx="102000" sy="102000" algn="ctr" rotWithShape="0">
                  <a:prstClr val="black">
                    <a:alpha val="40000"/>
                  </a:prstClr>
                </a:outerShdw>
              </a:effectLst>
            </a:rPr>
            <a:t> Revenue</a:t>
          </a:r>
          <a:endParaRPr lang="en-NG" sz="1600" b="1">
            <a:effectLst>
              <a:outerShdw blurRad="63500" sx="102000" sy="102000" algn="ctr" rotWithShape="0">
                <a:prstClr val="black">
                  <a:alpha val="40000"/>
                </a:prstClr>
              </a:outerShdw>
            </a:effectLst>
          </a:endParaRPr>
        </a:p>
      </xdr:txBody>
    </xdr:sp>
    <xdr:clientData/>
  </xdr:twoCellAnchor>
  <xdr:twoCellAnchor>
    <xdr:from>
      <xdr:col>5</xdr:col>
      <xdr:colOff>179615</xdr:colOff>
      <xdr:row>7</xdr:row>
      <xdr:rowOff>23784</xdr:rowOff>
    </xdr:from>
    <xdr:to>
      <xdr:col>7</xdr:col>
      <xdr:colOff>561301</xdr:colOff>
      <xdr:row>8</xdr:row>
      <xdr:rowOff>142091</xdr:rowOff>
    </xdr:to>
    <xdr:sp macro="" textlink="'Pivot Table'!F1">
      <xdr:nvSpPr>
        <xdr:cNvPr id="15" name="Rectangle 14">
          <a:extLst>
            <a:ext uri="{FF2B5EF4-FFF2-40B4-BE49-F238E27FC236}">
              <a16:creationId xmlns:a16="http://schemas.microsoft.com/office/drawing/2014/main" id="{BAC97069-7B2A-FAA3-0011-00B1BF110ED6}"/>
            </a:ext>
          </a:extLst>
        </xdr:cNvPr>
        <xdr:cNvSpPr/>
      </xdr:nvSpPr>
      <xdr:spPr>
        <a:xfrm>
          <a:off x="3581401" y="1262034"/>
          <a:ext cx="1742400" cy="295200"/>
        </a:xfrm>
        <a:prstGeom prst="rect">
          <a:avLst/>
        </a:prstGeom>
        <a:solidFill>
          <a:schemeClr val="tx2">
            <a:lumMod val="50000"/>
          </a:schemeClr>
        </a:solidFill>
        <a:effectLst>
          <a:outerShdw blurRad="63500" sx="102000" sy="102000" algn="ctr"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fld id="{6CA866FF-902B-4B6D-959F-CD5A352CC20D}" type="TxLink">
            <a:rPr lang="en-US" sz="2400" b="0" i="0" u="none" strike="noStrike">
              <a:solidFill>
                <a:schemeClr val="bg1"/>
              </a:solidFill>
              <a:latin typeface="Arial"/>
              <a:cs typeface="Arial"/>
            </a:rPr>
            <a:pPr algn="ctr"/>
            <a:t> </a:t>
          </a:fld>
          <a:endParaRPr lang="en-NG" sz="4000" b="1">
            <a:solidFill>
              <a:schemeClr val="bg1"/>
            </a:solidFill>
            <a:latin typeface="Aptos Black" panose="020F0502020204030204" pitchFamily="34" charset="0"/>
          </a:endParaRPr>
        </a:p>
      </xdr:txBody>
    </xdr:sp>
    <xdr:clientData/>
  </xdr:twoCellAnchor>
  <xdr:twoCellAnchor>
    <xdr:from>
      <xdr:col>5</xdr:col>
      <xdr:colOff>179614</xdr:colOff>
      <xdr:row>5</xdr:row>
      <xdr:rowOff>91818</xdr:rowOff>
    </xdr:from>
    <xdr:to>
      <xdr:col>7</xdr:col>
      <xdr:colOff>557700</xdr:colOff>
      <xdr:row>6</xdr:row>
      <xdr:rowOff>174125</xdr:rowOff>
    </xdr:to>
    <xdr:sp macro="" textlink="">
      <xdr:nvSpPr>
        <xdr:cNvPr id="16" name="Rectangle 15">
          <a:extLst>
            <a:ext uri="{FF2B5EF4-FFF2-40B4-BE49-F238E27FC236}">
              <a16:creationId xmlns:a16="http://schemas.microsoft.com/office/drawing/2014/main" id="{F2E9BFD5-E8E4-F762-B22E-F70A1F7D18A3}"/>
            </a:ext>
          </a:extLst>
        </xdr:cNvPr>
        <xdr:cNvSpPr/>
      </xdr:nvSpPr>
      <xdr:spPr>
        <a:xfrm>
          <a:off x="3581400" y="976282"/>
          <a:ext cx="1738800" cy="259200"/>
        </a:xfrm>
        <a:prstGeom prst="rect">
          <a:avLst/>
        </a:prstGeom>
        <a:solidFill>
          <a:schemeClr val="tx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38100" h="38100" prst="convex"/>
          </a:sp3d>
        </a:bodyPr>
        <a:lstStyle/>
        <a:p>
          <a:pPr algn="ctr"/>
          <a:r>
            <a:rPr lang="en-US" sz="1600" b="1">
              <a:effectLst>
                <a:outerShdw blurRad="63500" sx="102000" sy="102000" algn="ctr" rotWithShape="0">
                  <a:prstClr val="black">
                    <a:alpha val="40000"/>
                  </a:prstClr>
                </a:outerShdw>
              </a:effectLst>
            </a:rPr>
            <a:t>Total</a:t>
          </a:r>
          <a:r>
            <a:rPr lang="en-US" sz="1600" b="1" baseline="0">
              <a:effectLst>
                <a:outerShdw blurRad="63500" sx="102000" sy="102000" algn="ctr" rotWithShape="0">
                  <a:prstClr val="black">
                    <a:alpha val="40000"/>
                  </a:prstClr>
                </a:outerShdw>
              </a:effectLst>
            </a:rPr>
            <a:t> Orders</a:t>
          </a:r>
          <a:endParaRPr lang="en-NG" sz="1600" b="1">
            <a:effectLst>
              <a:outerShdw blurRad="63500" sx="102000" sy="102000" algn="ctr" rotWithShape="0">
                <a:prstClr val="black">
                  <a:alpha val="40000"/>
                </a:prstClr>
              </a:outerShdw>
            </a:effectLst>
          </a:endParaRPr>
        </a:p>
      </xdr:txBody>
    </xdr:sp>
    <xdr:clientData/>
  </xdr:twoCellAnchor>
  <xdr:twoCellAnchor>
    <xdr:from>
      <xdr:col>8</xdr:col>
      <xdr:colOff>223158</xdr:colOff>
      <xdr:row>7</xdr:row>
      <xdr:rowOff>23781</xdr:rowOff>
    </xdr:from>
    <xdr:to>
      <xdr:col>10</xdr:col>
      <xdr:colOff>604844</xdr:colOff>
      <xdr:row>8</xdr:row>
      <xdr:rowOff>142088</xdr:rowOff>
    </xdr:to>
    <xdr:sp macro="" textlink="'Pivot Table'!I1">
      <xdr:nvSpPr>
        <xdr:cNvPr id="17" name="Rectangle 16">
          <a:extLst>
            <a:ext uri="{FF2B5EF4-FFF2-40B4-BE49-F238E27FC236}">
              <a16:creationId xmlns:a16="http://schemas.microsoft.com/office/drawing/2014/main" id="{16A4EE07-8B89-6A96-6994-86B40314298F}"/>
            </a:ext>
          </a:extLst>
        </xdr:cNvPr>
        <xdr:cNvSpPr/>
      </xdr:nvSpPr>
      <xdr:spPr>
        <a:xfrm>
          <a:off x="5666015" y="1262031"/>
          <a:ext cx="1742400" cy="295200"/>
        </a:xfrm>
        <a:prstGeom prst="rect">
          <a:avLst/>
        </a:prstGeom>
        <a:solidFill>
          <a:schemeClr val="tx2">
            <a:lumMod val="50000"/>
          </a:schemeClr>
        </a:solidFill>
        <a:effectLst>
          <a:outerShdw blurRad="63500" sx="102000" sy="102000" algn="ctr" rotWithShape="0">
            <a:prstClr val="black">
              <a:alpha val="40000"/>
            </a:prstClr>
          </a:outerShdw>
        </a:effectLst>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a:bodyPr>
        <a:lstStyle/>
        <a:p>
          <a:pPr algn="ctr"/>
          <a:fld id="{FC65B8B3-3129-4ECC-932F-147C6376D11A}" type="TxLink">
            <a:rPr lang="en-US" sz="1800" b="1" i="0" u="none" strike="noStrike">
              <a:solidFill>
                <a:schemeClr val="bg1"/>
              </a:solidFill>
              <a:latin typeface="Arial"/>
              <a:cs typeface="Arial"/>
            </a:rPr>
            <a:pPr algn="ctr"/>
            <a:t> </a:t>
          </a:fld>
          <a:endParaRPr lang="en-NG" sz="7200" b="1">
            <a:solidFill>
              <a:schemeClr val="bg1"/>
            </a:solidFill>
            <a:latin typeface="Aptos Black" panose="020F0502020204030204" pitchFamily="34" charset="0"/>
          </a:endParaRPr>
        </a:p>
      </xdr:txBody>
    </xdr:sp>
    <xdr:clientData/>
  </xdr:twoCellAnchor>
  <xdr:twoCellAnchor>
    <xdr:from>
      <xdr:col>8</xdr:col>
      <xdr:colOff>223157</xdr:colOff>
      <xdr:row>5</xdr:row>
      <xdr:rowOff>91817</xdr:rowOff>
    </xdr:from>
    <xdr:to>
      <xdr:col>10</xdr:col>
      <xdr:colOff>601243</xdr:colOff>
      <xdr:row>6</xdr:row>
      <xdr:rowOff>174124</xdr:rowOff>
    </xdr:to>
    <xdr:sp macro="" textlink="">
      <xdr:nvSpPr>
        <xdr:cNvPr id="18" name="Rectangle 17">
          <a:extLst>
            <a:ext uri="{FF2B5EF4-FFF2-40B4-BE49-F238E27FC236}">
              <a16:creationId xmlns:a16="http://schemas.microsoft.com/office/drawing/2014/main" id="{E4E22BC4-21FE-A3D7-6859-FC5DAA2C03CC}"/>
            </a:ext>
          </a:extLst>
        </xdr:cNvPr>
        <xdr:cNvSpPr/>
      </xdr:nvSpPr>
      <xdr:spPr>
        <a:xfrm>
          <a:off x="5666014" y="976281"/>
          <a:ext cx="1738800" cy="259200"/>
        </a:xfrm>
        <a:prstGeom prst="rect">
          <a:avLst/>
        </a:prstGeom>
        <a:solidFill>
          <a:schemeClr val="tx2">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threePt" dir="t"/>
          </a:scene3d>
          <a:sp3d extrusionH="57150">
            <a:bevelT w="38100" h="38100" prst="convex"/>
          </a:sp3d>
        </a:bodyPr>
        <a:lstStyle/>
        <a:p>
          <a:pPr algn="ctr"/>
          <a:r>
            <a:rPr lang="en-US" sz="1600" b="1">
              <a:effectLst>
                <a:outerShdw blurRad="63500" sx="102000" sy="102000" algn="ctr" rotWithShape="0">
                  <a:prstClr val="black">
                    <a:alpha val="40000"/>
                  </a:prstClr>
                </a:outerShdw>
              </a:effectLst>
            </a:rPr>
            <a:t>Top</a:t>
          </a:r>
          <a:r>
            <a:rPr lang="en-US" sz="1600" b="1" baseline="0">
              <a:effectLst>
                <a:outerShdw blurRad="63500" sx="102000" sy="102000" algn="ctr" rotWithShape="0">
                  <a:prstClr val="black">
                    <a:alpha val="40000"/>
                  </a:prstClr>
                </a:outerShdw>
              </a:effectLst>
            </a:rPr>
            <a:t> Category</a:t>
          </a:r>
          <a:endParaRPr lang="en-NG" sz="1600" b="1">
            <a:effectLst>
              <a:outerShdw blurRad="63500" sx="102000" sy="102000" algn="ctr" rotWithShape="0">
                <a:prstClr val="black">
                  <a:alpha val="40000"/>
                </a:prstClr>
              </a:outerShdw>
            </a:effectLst>
          </a:endParaRPr>
        </a:p>
      </xdr:txBody>
    </xdr:sp>
    <xdr:clientData/>
  </xdr:twoCellAnchor>
  <xdr:twoCellAnchor>
    <xdr:from>
      <xdr:col>1</xdr:col>
      <xdr:colOff>571499</xdr:colOff>
      <xdr:row>17</xdr:row>
      <xdr:rowOff>122464</xdr:rowOff>
    </xdr:from>
    <xdr:to>
      <xdr:col>7</xdr:col>
      <xdr:colOff>326571</xdr:colOff>
      <xdr:row>28</xdr:row>
      <xdr:rowOff>40821</xdr:rowOff>
    </xdr:to>
    <xdr:graphicFrame macro="">
      <xdr:nvGraphicFramePr>
        <xdr:cNvPr id="19" name="Chart 18">
          <a:extLst>
            <a:ext uri="{FF2B5EF4-FFF2-40B4-BE49-F238E27FC236}">
              <a16:creationId xmlns:a16="http://schemas.microsoft.com/office/drawing/2014/main" id="{83C491E6-6215-6DF2-0A91-AEC143B68C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503462</xdr:colOff>
      <xdr:row>17</xdr:row>
      <xdr:rowOff>30583</xdr:rowOff>
    </xdr:from>
    <xdr:to>
      <xdr:col>15</xdr:col>
      <xdr:colOff>204105</xdr:colOff>
      <xdr:row>28</xdr:row>
      <xdr:rowOff>27214</xdr:rowOff>
    </xdr:to>
    <xdr:graphicFrame macro="">
      <xdr:nvGraphicFramePr>
        <xdr:cNvPr id="21" name="Chart 20">
          <a:extLst>
            <a:ext uri="{FF2B5EF4-FFF2-40B4-BE49-F238E27FC236}">
              <a16:creationId xmlns:a16="http://schemas.microsoft.com/office/drawing/2014/main" id="{B0590569-0B92-D199-6FCC-45D960852C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163286</xdr:colOff>
      <xdr:row>8</xdr:row>
      <xdr:rowOff>116682</xdr:rowOff>
    </xdr:from>
    <xdr:to>
      <xdr:col>10</xdr:col>
      <xdr:colOff>421823</xdr:colOff>
      <xdr:row>17</xdr:row>
      <xdr:rowOff>136072</xdr:rowOff>
    </xdr:to>
    <xdr:graphicFrame macro="">
      <xdr:nvGraphicFramePr>
        <xdr:cNvPr id="23" name="Chart 22">
          <a:extLst>
            <a:ext uri="{FF2B5EF4-FFF2-40B4-BE49-F238E27FC236}">
              <a16:creationId xmlns:a16="http://schemas.microsoft.com/office/drawing/2014/main" id="{45D234ED-B8F8-54DE-078F-5A634D1CBC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171451</xdr:colOff>
      <xdr:row>0</xdr:row>
      <xdr:rowOff>24495</xdr:rowOff>
    </xdr:from>
    <xdr:to>
      <xdr:col>14</xdr:col>
      <xdr:colOff>597648</xdr:colOff>
      <xdr:row>3</xdr:row>
      <xdr:rowOff>68035</xdr:rowOff>
    </xdr:to>
    <xdr:sp macro="" textlink="">
      <xdr:nvSpPr>
        <xdr:cNvPr id="24" name="Rectangle: Rounded Corners 23">
          <a:extLst>
            <a:ext uri="{FF2B5EF4-FFF2-40B4-BE49-F238E27FC236}">
              <a16:creationId xmlns:a16="http://schemas.microsoft.com/office/drawing/2014/main" id="{44F65A5C-F341-5C0E-7D0A-A12F25819600}"/>
            </a:ext>
          </a:extLst>
        </xdr:cNvPr>
        <xdr:cNvSpPr/>
      </xdr:nvSpPr>
      <xdr:spPr>
        <a:xfrm>
          <a:off x="851808" y="24495"/>
          <a:ext cx="9270840" cy="574219"/>
        </a:xfrm>
        <a:prstGeom prst="roundRect">
          <a:avLst/>
        </a:prstGeom>
        <a:noFill/>
        <a:ln>
          <a:no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prst="angle"/>
          </a:sp3d>
        </a:bodyPr>
        <a:lstStyle/>
        <a:p>
          <a:pPr algn="ctr"/>
          <a:r>
            <a:rPr lang="en-US" sz="4800">
              <a:solidFill>
                <a:schemeClr val="tx2">
                  <a:lumMod val="50000"/>
                </a:schemeClr>
              </a:solidFill>
              <a:latin typeface="ADLaM Display" panose="02010000000000000000" pitchFamily="2" charset="0"/>
              <a:ea typeface="ADLaM Display" panose="02010000000000000000" pitchFamily="2" charset="0"/>
              <a:cs typeface="ADLaM Display" panose="02010000000000000000" pitchFamily="2" charset="0"/>
            </a:rPr>
            <a:t>NDUKA GADGETS</a:t>
          </a:r>
          <a:r>
            <a:rPr lang="en-US" sz="4800" baseline="0">
              <a:solidFill>
                <a:schemeClr val="tx2">
                  <a:lumMod val="50000"/>
                </a:schemeClr>
              </a:solidFill>
              <a:latin typeface="ADLaM Display" panose="02010000000000000000" pitchFamily="2" charset="0"/>
              <a:ea typeface="ADLaM Display" panose="02010000000000000000" pitchFamily="2" charset="0"/>
              <a:cs typeface="ADLaM Display" panose="02010000000000000000" pitchFamily="2" charset="0"/>
            </a:rPr>
            <a:t> AND CO.</a:t>
          </a:r>
        </a:p>
      </xdr:txBody>
    </xdr:sp>
    <xdr:clientData/>
  </xdr:twoCellAnchor>
  <xdr:twoCellAnchor>
    <xdr:from>
      <xdr:col>4</xdr:col>
      <xdr:colOff>168089</xdr:colOff>
      <xdr:row>3</xdr:row>
      <xdr:rowOff>78551</xdr:rowOff>
    </xdr:from>
    <xdr:to>
      <xdr:col>11</xdr:col>
      <xdr:colOff>171077</xdr:colOff>
      <xdr:row>5</xdr:row>
      <xdr:rowOff>27216</xdr:rowOff>
    </xdr:to>
    <xdr:sp macro="" textlink="">
      <xdr:nvSpPr>
        <xdr:cNvPr id="25" name="Rectangle: Rounded Corners 24">
          <a:extLst>
            <a:ext uri="{FF2B5EF4-FFF2-40B4-BE49-F238E27FC236}">
              <a16:creationId xmlns:a16="http://schemas.microsoft.com/office/drawing/2014/main" id="{9A3AFDE9-6C97-D67C-FC7D-3681F6D51429}"/>
            </a:ext>
          </a:extLst>
        </xdr:cNvPr>
        <xdr:cNvSpPr/>
      </xdr:nvSpPr>
      <xdr:spPr>
        <a:xfrm>
          <a:off x="2889518" y="609230"/>
          <a:ext cx="4765488" cy="302450"/>
        </a:xfrm>
        <a:prstGeom prst="roundRect">
          <a:avLst/>
        </a:prstGeom>
        <a:noFill/>
        <a:ln>
          <a:noFill/>
        </a:ln>
        <a:scene3d>
          <a:camera prst="orthographicFront"/>
          <a:lightRig rig="threePt" dir="t"/>
        </a:scene3d>
        <a:sp3d>
          <a:bevelT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sp3d extrusionH="57150">
            <a:bevelT w="38100" h="38100" prst="angle"/>
          </a:sp3d>
        </a:bodyPr>
        <a:lstStyle/>
        <a:p>
          <a:pPr algn="ctr"/>
          <a:r>
            <a:rPr lang="en-US" sz="2000">
              <a:solidFill>
                <a:schemeClr val="tx2">
                  <a:lumMod val="50000"/>
                </a:schemeClr>
              </a:solidFill>
              <a:latin typeface="Garamond" panose="02020404030301010803" pitchFamily="18" charset="0"/>
              <a:ea typeface="ADLaM Display" panose="02010000000000000000" pitchFamily="2" charset="0"/>
              <a:cs typeface="ADLaM Display" panose="02010000000000000000" pitchFamily="2" charset="0"/>
            </a:rPr>
            <a:t>Your one stop to Premium Gadgets...</a:t>
          </a:r>
          <a:endParaRPr lang="en-US" sz="2000" baseline="0">
            <a:solidFill>
              <a:schemeClr val="tx2">
                <a:lumMod val="50000"/>
              </a:schemeClr>
            </a:solidFill>
            <a:latin typeface="Garamond" panose="02020404030301010803" pitchFamily="18" charset="0"/>
            <a:ea typeface="ADLaM Display" panose="02010000000000000000" pitchFamily="2" charset="0"/>
            <a:cs typeface="ADLaM Display" panose="02010000000000000000" pitchFamily="2" charset="0"/>
          </a:endParaRPr>
        </a:p>
      </xdr:txBody>
    </xdr:sp>
    <xdr:clientData/>
  </xdr:twoCellAnchor>
  <xdr:twoCellAnchor editAs="oneCell">
    <xdr:from>
      <xdr:col>12</xdr:col>
      <xdr:colOff>113388</xdr:colOff>
      <xdr:row>11</xdr:row>
      <xdr:rowOff>23814</xdr:rowOff>
    </xdr:from>
    <xdr:to>
      <xdr:col>14</xdr:col>
      <xdr:colOff>340175</xdr:colOff>
      <xdr:row>14</xdr:row>
      <xdr:rowOff>149679</xdr:rowOff>
    </xdr:to>
    <mc:AlternateContent xmlns:mc="http://schemas.openxmlformats.org/markup-compatibility/2006" xmlns:a14="http://schemas.microsoft.com/office/drawing/2010/main">
      <mc:Choice Requires="a14">
        <xdr:graphicFrame macro="">
          <xdr:nvGraphicFramePr>
            <xdr:cNvPr id="31" name="Years (Date)">
              <a:extLst>
                <a:ext uri="{FF2B5EF4-FFF2-40B4-BE49-F238E27FC236}">
                  <a16:creationId xmlns:a16="http://schemas.microsoft.com/office/drawing/2014/main" id="{F6E9EEE5-53EE-8F39-DFEA-0EE765973F8C}"/>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8322206" y="2024064"/>
              <a:ext cx="1594924" cy="671388"/>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11</xdr:col>
      <xdr:colOff>68032</xdr:colOff>
      <xdr:row>5</xdr:row>
      <xdr:rowOff>103642</xdr:rowOff>
    </xdr:from>
    <xdr:to>
      <xdr:col>15</xdr:col>
      <xdr:colOff>639535</xdr:colOff>
      <xdr:row>11</xdr:row>
      <xdr:rowOff>54428</xdr:rowOff>
    </xdr:to>
    <mc:AlternateContent xmlns:mc="http://schemas.openxmlformats.org/markup-compatibility/2006" xmlns:a14="http://schemas.microsoft.com/office/drawing/2010/main">
      <mc:Choice Requires="a14">
        <xdr:graphicFrame macro="">
          <xdr:nvGraphicFramePr>
            <xdr:cNvPr id="32" name="Product Category">
              <a:extLst>
                <a:ext uri="{FF2B5EF4-FFF2-40B4-BE49-F238E27FC236}">
                  <a16:creationId xmlns:a16="http://schemas.microsoft.com/office/drawing/2014/main" id="{9A227927-E842-85A3-9895-45158E099FC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7592782" y="1012847"/>
              <a:ext cx="3307776" cy="104183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13607</xdr:colOff>
      <xdr:row>5</xdr:row>
      <xdr:rowOff>54429</xdr:rowOff>
    </xdr:from>
    <xdr:to>
      <xdr:col>16</xdr:col>
      <xdr:colOff>163286</xdr:colOff>
      <xdr:row>5</xdr:row>
      <xdr:rowOff>54429</xdr:rowOff>
    </xdr:to>
    <xdr:cxnSp macro="">
      <xdr:nvCxnSpPr>
        <xdr:cNvPr id="36" name="Straight Connector 35">
          <a:extLst>
            <a:ext uri="{FF2B5EF4-FFF2-40B4-BE49-F238E27FC236}">
              <a16:creationId xmlns:a16="http://schemas.microsoft.com/office/drawing/2014/main" id="{5ED9CF6B-4068-CA71-CD60-8622DFA6956A}"/>
            </a:ext>
          </a:extLst>
        </xdr:cNvPr>
        <xdr:cNvCxnSpPr/>
      </xdr:nvCxnSpPr>
      <xdr:spPr>
        <a:xfrm>
          <a:off x="13607" y="938893"/>
          <a:ext cx="11035393" cy="0"/>
        </a:xfrm>
        <a:prstGeom prst="line">
          <a:avLst/>
        </a:prstGeom>
        <a:ln w="38100">
          <a:solidFill>
            <a:schemeClr val="tx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33</xdr:row>
      <xdr:rowOff>38100</xdr:rowOff>
    </xdr:from>
    <xdr:to>
      <xdr:col>7</xdr:col>
      <xdr:colOff>676275</xdr:colOff>
      <xdr:row>34</xdr:row>
      <xdr:rowOff>171450</xdr:rowOff>
    </xdr:to>
    <xdr:sp macro="[0]!SubmitMultiSale" textlink="">
      <xdr:nvSpPr>
        <xdr:cNvPr id="2" name="Rectangle: Rounded Corners 1">
          <a:extLst>
            <a:ext uri="{FF2B5EF4-FFF2-40B4-BE49-F238E27FC236}">
              <a16:creationId xmlns:a16="http://schemas.microsoft.com/office/drawing/2014/main" id="{89543412-1BD3-5BD5-0CD8-6959ADA531F5}"/>
            </a:ext>
          </a:extLst>
        </xdr:cNvPr>
        <xdr:cNvSpPr/>
      </xdr:nvSpPr>
      <xdr:spPr>
        <a:xfrm>
          <a:off x="5419725" y="6315075"/>
          <a:ext cx="990600" cy="314325"/>
        </a:xfrm>
        <a:prstGeom prst="roundRect">
          <a:avLst>
            <a:gd name="adj" fmla="val 50000"/>
          </a:avLst>
        </a:prstGeom>
        <a:solidFill>
          <a:schemeClr val="tx2">
            <a:lumMod val="5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Submit</a:t>
          </a:r>
          <a:endParaRPr lang="en-NG" sz="1200" b="1"/>
        </a:p>
      </xdr:txBody>
    </xdr:sp>
    <xdr:clientData fLocksWithSheet="0"/>
  </xdr:twoCellAnchor>
  <xdr:twoCellAnchor>
    <xdr:from>
      <xdr:col>1</xdr:col>
      <xdr:colOff>9525</xdr:colOff>
      <xdr:row>33</xdr:row>
      <xdr:rowOff>38100</xdr:rowOff>
    </xdr:from>
    <xdr:to>
      <xdr:col>1</xdr:col>
      <xdr:colOff>1000125</xdr:colOff>
      <xdr:row>34</xdr:row>
      <xdr:rowOff>171450</xdr:rowOff>
    </xdr:to>
    <xdr:sp macro="[0]!CancelSale" textlink="">
      <xdr:nvSpPr>
        <xdr:cNvPr id="4" name="Rectangle: Rounded Corners 3">
          <a:extLst>
            <a:ext uri="{FF2B5EF4-FFF2-40B4-BE49-F238E27FC236}">
              <a16:creationId xmlns:a16="http://schemas.microsoft.com/office/drawing/2014/main" id="{69097293-309D-A1DA-A550-3AAC245ADE0E}"/>
            </a:ext>
          </a:extLst>
        </xdr:cNvPr>
        <xdr:cNvSpPr/>
      </xdr:nvSpPr>
      <xdr:spPr>
        <a:xfrm>
          <a:off x="695325" y="6315075"/>
          <a:ext cx="990600" cy="314325"/>
        </a:xfrm>
        <a:prstGeom prst="roundRect">
          <a:avLst>
            <a:gd name="adj" fmla="val 50000"/>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Cancel</a:t>
          </a:r>
          <a:endParaRPr lang="en-NG" sz="1200" b="1"/>
        </a:p>
      </xdr:txBody>
    </xdr:sp>
    <xdr:clientData fLock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ter Obikpe" refreshedDate="46119.726498958335" createdVersion="8" refreshedVersion="8" minRefreshableVersion="3" recordCount="100" xr:uid="{40AF77D6-2F92-480C-AB49-987794C775AA}">
  <cacheSource type="worksheet">
    <worksheetSource name="Table1"/>
  </cacheSource>
  <cacheFields count="14">
    <cacheField name="Date" numFmtId="14">
      <sharedItems containsSemiMixedTypes="0" containsNonDate="0" containsDate="1" containsString="0" minDate="2025-04-04T00:00:00" maxDate="2026-03-31T00:00:00" count="86">
        <d v="2025-07-16T00:00:00"/>
        <d v="2025-06-22T00:00:00"/>
        <d v="2026-02-03T00:00:00"/>
        <d v="2026-01-12T00:00:00"/>
        <d v="2026-03-26T00:00:00"/>
        <d v="2026-03-30T00:00:00"/>
        <d v="2025-10-28T00:00:00"/>
        <d v="2025-05-05T00:00:00"/>
        <d v="2025-12-15T00:00:00"/>
        <d v="2025-11-25T00:00:00"/>
        <d v="2026-03-22T00:00:00"/>
        <d v="2025-04-04T00:00:00"/>
        <d v="2025-08-23T00:00:00"/>
        <d v="2025-08-16T00:00:00"/>
        <d v="2025-10-11T00:00:00"/>
        <d v="2025-05-18T00:00:00"/>
        <d v="2025-06-21T00:00:00"/>
        <d v="2026-01-09T00:00:00"/>
        <d v="2026-02-05T00:00:00"/>
        <d v="2025-06-08T00:00:00"/>
        <d v="2025-08-13T00:00:00"/>
        <d v="2026-03-23T00:00:00"/>
        <d v="2025-11-27T00:00:00"/>
        <d v="2025-12-09T00:00:00"/>
        <d v="2025-04-29T00:00:00"/>
        <d v="2026-01-18T00:00:00"/>
        <d v="2025-08-22T00:00:00"/>
        <d v="2025-12-07T00:00:00"/>
        <d v="2025-07-03T00:00:00"/>
        <d v="2026-02-15T00:00:00"/>
        <d v="2026-03-04T00:00:00"/>
        <d v="2025-12-31T00:00:00"/>
        <d v="2026-03-15T00:00:00"/>
        <d v="2025-12-20T00:00:00"/>
        <d v="2025-10-18T00:00:00"/>
        <d v="2025-05-02T00:00:00"/>
        <d v="2025-04-19T00:00:00"/>
        <d v="2025-09-29T00:00:00"/>
        <d v="2025-06-28T00:00:00"/>
        <d v="2025-10-22T00:00:00"/>
        <d v="2026-03-27T00:00:00"/>
        <d v="2025-07-24T00:00:00"/>
        <d v="2026-02-16T00:00:00"/>
        <d v="2025-05-16T00:00:00"/>
        <d v="2026-01-01T00:00:00"/>
        <d v="2025-07-18T00:00:00"/>
        <d v="2025-04-20T00:00:00"/>
        <d v="2025-05-24T00:00:00"/>
        <d v="2026-01-08T00:00:00"/>
        <d v="2025-12-23T00:00:00"/>
        <d v="2026-02-19T00:00:00"/>
        <d v="2025-09-28T00:00:00"/>
        <d v="2025-05-23T00:00:00"/>
        <d v="2025-10-30T00:00:00"/>
        <d v="2025-09-10T00:00:00"/>
        <d v="2025-05-15T00:00:00"/>
        <d v="2025-11-23T00:00:00"/>
        <d v="2025-07-12T00:00:00"/>
        <d v="2025-04-24T00:00:00"/>
        <d v="2025-04-12T00:00:00"/>
        <d v="2025-06-18T00:00:00"/>
        <d v="2026-03-03T00:00:00"/>
        <d v="2025-10-20T00:00:00"/>
        <d v="2026-02-12T00:00:00"/>
        <d v="2025-09-22T00:00:00"/>
        <d v="2025-08-09T00:00:00"/>
        <d v="2025-04-30T00:00:00"/>
        <d v="2025-09-03T00:00:00"/>
        <d v="2026-02-20T00:00:00"/>
        <d v="2026-01-02T00:00:00"/>
        <d v="2025-10-02T00:00:00"/>
        <d v="2025-07-30T00:00:00"/>
        <d v="2025-11-10T00:00:00"/>
        <d v="2026-02-26T00:00:00"/>
        <d v="2025-12-11T00:00:00"/>
        <d v="2025-09-23T00:00:00"/>
        <d v="2025-07-22T00:00:00"/>
        <d v="2025-11-14T00:00:00"/>
        <d v="2026-01-31T00:00:00"/>
        <d v="2025-08-05T00:00:00"/>
        <d v="2025-10-27T00:00:00"/>
        <d v="2025-04-13T00:00:00"/>
        <d v="2025-07-14T00:00:00"/>
        <d v="2026-01-22T00:00:00"/>
        <d v="2026-03-02T00:00:00"/>
        <d v="2025-09-18T00:00:00"/>
      </sharedItems>
      <fieldGroup par="13"/>
    </cacheField>
    <cacheField name="Sales ID" numFmtId="49">
      <sharedItems/>
    </cacheField>
    <cacheField name="Customer Name" numFmtId="49">
      <sharedItems/>
    </cacheField>
    <cacheField name="Phone" numFmtId="49">
      <sharedItems/>
    </cacheField>
    <cacheField name="Product ID" numFmtId="49">
      <sharedItems/>
    </cacheField>
    <cacheField name="Product Category" numFmtId="49">
      <sharedItems count="6">
        <s v="iPhones"/>
        <s v="Gadgets"/>
        <s v="Macbooks"/>
        <s v="TV"/>
        <s v="Laptops"/>
        <s v="Tablets"/>
      </sharedItems>
    </cacheField>
    <cacheField name="Product" numFmtId="49">
      <sharedItems count="34">
        <s v="iPhone 15 Pro Max (256GB)"/>
        <s v="AirPods Pro (2nd Gen)"/>
        <s v="MacBook Pro 14&quot; (M3 Pro)"/>
        <s v="LG 65&quot; OLED C3"/>
        <s v="iPhone 13 (128GB)"/>
        <s v="Oraimo FreePods 4"/>
        <s v="Lenovo ThinkPad X1 Carbon"/>
        <s v="iPad Pro 12.9&quot; (M2)"/>
        <s v="Apple Watch Ultra 2"/>
        <s v="iPhone 14 Pro (128GB)"/>
        <s v="MacBook Air 13&quot; (M1)"/>
        <s v="iPhone 15 (128GB)"/>
        <s v="PS5 Console (Disc Edition)"/>
        <s v="Panasonic 55&quot; Android TV"/>
        <s v="HP Envy x360 (i7)"/>
        <s v="Sony WH-1000XM5"/>
        <s v="iPhone 12 (128GB)"/>
        <s v="MacBook Pro 16&quot; (M3 Max)"/>
        <s v="Samsung Tab S9 Ultra"/>
        <s v="iPhone 11 (64GB)"/>
        <s v="HP Victus 15"/>
        <s v="MacBook Air 15&quot; (M3)"/>
        <s v="iPhone 14 Pro Max (256GB)"/>
        <s v="Samsung 75&quot; Crystal UHD"/>
        <s v="Apple Watch Series 9"/>
        <s v="iPhone 15 Pro (128GB)"/>
        <s v="MacBook Pro 13&quot; (M2)"/>
        <s v="ASUS ROG Zephyrus G14"/>
        <s v="iPad Air 5 (M1)"/>
        <s v="MacBook Air 13&quot; (M2)"/>
        <s v="iPad 10th Gen (64GB)"/>
        <s v="Dell Latitude 5420"/>
        <s v="iPhone 14 (128GB)"/>
        <s v="iPhone 13 Pro Max (256GB)"/>
      </sharedItems>
    </cacheField>
    <cacheField name="Quantity" numFmtId="0">
      <sharedItems containsSemiMixedTypes="0" containsString="0" containsNumber="1" containsInteger="1" minValue="1" maxValue="10"/>
    </cacheField>
    <cacheField name="Unit Price" numFmtId="164">
      <sharedItems containsSemiMixedTypes="0" containsString="0" containsNumber="1" containsInteger="1" minValue="45000" maxValue="4200000"/>
    </cacheField>
    <cacheField name="Total" numFmtId="164">
      <sharedItems containsSemiMixedTypes="0" containsString="0" containsNumber="1" containsInteger="1" minValue="135000" maxValue="4750000"/>
    </cacheField>
    <cacheField name="Payment Method" numFmtId="49">
      <sharedItems count="3">
        <s v="Transfer"/>
        <s v="POS"/>
        <s v="Cash"/>
      </sharedItems>
    </cacheField>
    <cacheField name="Months (Date)" numFmtId="0" databaseField="0">
      <fieldGroup base="0">
        <rangePr groupBy="months" startDate="2025-04-04T00:00:00" endDate="2026-03-31T00:00:00"/>
        <groupItems count="14">
          <s v="&lt;04/04/2025"/>
          <s v="Jan"/>
          <s v="Feb"/>
          <s v="Mar"/>
          <s v="Apr"/>
          <s v="May"/>
          <s v="Jun"/>
          <s v="Jul"/>
          <s v="Aug"/>
          <s v="Sep"/>
          <s v="Oct"/>
          <s v="Nov"/>
          <s v="Dec"/>
          <s v="&gt;31/03/2026"/>
        </groupItems>
      </fieldGroup>
    </cacheField>
    <cacheField name="Quarters (Date)" numFmtId="0" databaseField="0">
      <fieldGroup base="0">
        <rangePr groupBy="quarters" startDate="2025-04-04T00:00:00" endDate="2026-03-31T00:00:00"/>
        <groupItems count="6">
          <s v="&lt;04/04/2025"/>
          <s v="Qtr1"/>
          <s v="Qtr2"/>
          <s v="Qtr3"/>
          <s v="Qtr4"/>
          <s v="&gt;31/03/2026"/>
        </groupItems>
      </fieldGroup>
    </cacheField>
    <cacheField name="Years (Date)" numFmtId="0" databaseField="0">
      <fieldGroup base="0">
        <rangePr groupBy="years" startDate="2025-04-04T00:00:00" endDate="2026-03-31T00:00:00"/>
        <groupItems count="4">
          <s v="&lt;04/04/2025"/>
          <s v="2025"/>
          <s v="2026"/>
          <s v="&gt;31/03/2026"/>
        </groupItems>
      </fieldGroup>
    </cacheField>
  </cacheFields>
  <extLst>
    <ext xmlns:x14="http://schemas.microsoft.com/office/spreadsheetml/2009/9/main" uri="{725AE2AE-9491-48be-B2B4-4EB974FC3084}">
      <x14:pivotCacheDefinition pivotCacheId="10124561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s v="ND-A1F312B10"/>
    <s v="Chidi Okafor"/>
    <s v="08034567890"/>
    <s v="IP-015PM"/>
    <x v="0"/>
    <x v="0"/>
    <n v="1"/>
    <n v="1900000"/>
    <n v="1900000"/>
    <x v="0"/>
  </r>
  <r>
    <x v="1"/>
    <s v="ND-A1F312B10"/>
    <s v="Chidi Okafor"/>
    <s v="08034567890"/>
    <s v="AC-003"/>
    <x v="1"/>
    <x v="1"/>
    <n v="2"/>
    <n v="380000"/>
    <n v="760000"/>
    <x v="0"/>
  </r>
  <r>
    <x v="2"/>
    <s v="ND-K9E445C12"/>
    <s v="Funke Akindele"/>
    <s v="08122334455"/>
    <s v="MB-002"/>
    <x v="2"/>
    <x v="2"/>
    <n v="1"/>
    <n v="2850000"/>
    <n v="2850000"/>
    <x v="1"/>
  </r>
  <r>
    <x v="3"/>
    <s v="ND-B2G556D15"/>
    <s v="Ibrahim Musa"/>
    <s v="09055667788"/>
    <s v="TV-002"/>
    <x v="3"/>
    <x v="3"/>
    <n v="1"/>
    <n v="1850000"/>
    <n v="1850000"/>
    <x v="2"/>
  </r>
  <r>
    <x v="4"/>
    <s v="ND-J8H778F20"/>
    <s v="Blessing Ebere"/>
    <s v="07011223344"/>
    <s v="IP-013"/>
    <x v="0"/>
    <x v="4"/>
    <n v="1"/>
    <n v="880000"/>
    <n v="880000"/>
    <x v="0"/>
  </r>
  <r>
    <x v="5"/>
    <s v="ND-J8H778F20"/>
    <s v="Blessing Ebere"/>
    <s v="07011223344"/>
    <s v="AC-005"/>
    <x v="1"/>
    <x v="5"/>
    <n v="3"/>
    <n v="45000"/>
    <n v="135000"/>
    <x v="0"/>
  </r>
  <r>
    <x v="6"/>
    <s v="ND-L1M990G25"/>
    <s v="Segun Arinze"/>
    <s v="08099887766"/>
    <s v="LT-005"/>
    <x v="4"/>
    <x v="6"/>
    <n v="1"/>
    <n v="1800000"/>
    <n v="1800000"/>
    <x v="1"/>
  </r>
  <r>
    <x v="7"/>
    <s v="ND-S4P112H30"/>
    <s v="Ngozi Uzor"/>
    <s v="08100223344"/>
    <s v="TB-001"/>
    <x v="5"/>
    <x v="7"/>
    <n v="1"/>
    <n v="1550000"/>
    <n v="1550000"/>
    <x v="0"/>
  </r>
  <r>
    <x v="8"/>
    <s v="ND-S4P112H30"/>
    <s v="Ngozi Uzor"/>
    <s v="08100223344"/>
    <s v="AC-001"/>
    <x v="1"/>
    <x v="8"/>
    <n v="1"/>
    <n v="1100000"/>
    <n v="1100000"/>
    <x v="0"/>
  </r>
  <r>
    <x v="9"/>
    <s v="ND-R5T334J35"/>
    <s v="David Okoro"/>
    <s v="09033445566"/>
    <s v="IP-014P"/>
    <x v="0"/>
    <x v="9"/>
    <n v="1"/>
    <n v="1250000"/>
    <n v="1250000"/>
    <x v="2"/>
  </r>
  <r>
    <x v="10"/>
    <s v="ND-W9Z556K40"/>
    <s v="Tunde Bakare"/>
    <s v="08022334455"/>
    <s v="MB-006"/>
    <x v="2"/>
    <x v="10"/>
    <n v="5"/>
    <n v="950000"/>
    <n v="4750000"/>
    <x v="0"/>
  </r>
  <r>
    <x v="11"/>
    <s v="ND-Q2X778L45"/>
    <s v="Amaka Njoku"/>
    <s v="07066778899"/>
    <s v="IP-015"/>
    <x v="0"/>
    <x v="11"/>
    <n v="1"/>
    <n v="1150000"/>
    <n v="1150000"/>
    <x v="1"/>
  </r>
  <r>
    <x v="12"/>
    <s v="ND-V3Y990M50"/>
    <s v="Emeka Junior"/>
    <s v="08177889900"/>
    <s v="AC-006"/>
    <x v="1"/>
    <x v="12"/>
    <n v="2"/>
    <n v="850000"/>
    <n v="1700000"/>
    <x v="0"/>
  </r>
  <r>
    <x v="13"/>
    <s v="ND-Z4B112N55"/>
    <s v="Aisha Bello"/>
    <s v="09011223344"/>
    <s v="TV-003"/>
    <x v="3"/>
    <x v="13"/>
    <n v="1"/>
    <n v="650000"/>
    <n v="650000"/>
    <x v="2"/>
  </r>
  <r>
    <x v="14"/>
    <s v="ND-X6C334P60"/>
    <s v="Kelvin Hart"/>
    <s v="08055443322"/>
    <s v="LT-002"/>
    <x v="4"/>
    <x v="14"/>
    <n v="1"/>
    <n v="1100000"/>
    <n v="1100000"/>
    <x v="1"/>
  </r>
  <r>
    <x v="15"/>
    <s v="ND-X6C334P60"/>
    <s v="Kelvin Hart"/>
    <s v="08055443322"/>
    <s v="AC-004"/>
    <x v="1"/>
    <x v="15"/>
    <n v="1"/>
    <n v="550000"/>
    <n v="550000"/>
    <x v="1"/>
  </r>
  <r>
    <x v="16"/>
    <s v="ND-M1D556Q65"/>
    <s v="Joy Idibia"/>
    <s v="07033221100"/>
    <s v="IP-012"/>
    <x v="0"/>
    <x v="16"/>
    <n v="1"/>
    <n v="650000"/>
    <n v="650000"/>
    <x v="0"/>
  </r>
  <r>
    <x v="17"/>
    <s v="ND-N8F778R70"/>
    <s v="Banky W."/>
    <s v="08011224466"/>
    <s v="MB-001"/>
    <x v="2"/>
    <x v="17"/>
    <n v="1"/>
    <n v="4200000"/>
    <n v="4200000"/>
    <x v="0"/>
  </r>
  <r>
    <x v="18"/>
    <s v="ND-N8F778R70"/>
    <s v="Banky W."/>
    <s v="08011224466"/>
    <s v="TB-004"/>
    <x v="5"/>
    <x v="18"/>
    <n v="1"/>
    <n v="1350000"/>
    <n v="1350000"/>
    <x v="0"/>
  </r>
  <r>
    <x v="9"/>
    <s v="ND-P2G990S75"/>
    <s v="Anita Joseph"/>
    <s v="09077889911"/>
    <s v="IP-011"/>
    <x v="0"/>
    <x v="19"/>
    <n v="2"/>
    <n v="450000"/>
    <n v="900000"/>
    <x v="2"/>
  </r>
  <r>
    <x v="19"/>
    <s v="ND-S5H112T80"/>
    <s v="Jude Abaga"/>
    <s v="08122335577"/>
    <s v="LT-001"/>
    <x v="4"/>
    <x v="20"/>
    <n v="1"/>
    <n v="950000"/>
    <n v="950000"/>
    <x v="1"/>
  </r>
  <r>
    <x v="20"/>
    <s v="ND-U7J334V85"/>
    <s v="Olamide B."/>
    <s v="08099881122"/>
    <s v="MB-004"/>
    <x v="2"/>
    <x v="21"/>
    <n v="1"/>
    <n v="1950000"/>
    <n v="1950000"/>
    <x v="0"/>
  </r>
  <r>
    <x v="21"/>
    <s v="ND-Y9K556W90"/>
    <s v="Mercy Eke"/>
    <s v="07055441122"/>
    <s v="IP-014PM"/>
    <x v="0"/>
    <x v="22"/>
    <n v="1"/>
    <n v="1450000"/>
    <n v="1450000"/>
    <x v="1"/>
  </r>
  <r>
    <x v="22"/>
    <s v="ND-T3L778X95"/>
    <s v="Wizkid A."/>
    <s v="08044332211"/>
    <s v="TV-001"/>
    <x v="3"/>
    <x v="23"/>
    <n v="1"/>
    <n v="1600000"/>
    <n v="1600000"/>
    <x v="0"/>
  </r>
  <r>
    <x v="23"/>
    <s v="ND-T3L778X95"/>
    <s v="Wizkid A."/>
    <s v="08044332211"/>
    <s v="AC-002"/>
    <x v="1"/>
    <x v="24"/>
    <n v="2"/>
    <n v="580000"/>
    <n v="1160000"/>
    <x v="0"/>
  </r>
  <r>
    <x v="24"/>
    <s v="ND-H4M990Y11"/>
    <s v="Tiwa Savage"/>
    <s v="08012345678"/>
    <s v="IP-015P"/>
    <x v="0"/>
    <x v="25"/>
    <n v="1"/>
    <n v="1650000"/>
    <n v="1650000"/>
    <x v="1"/>
  </r>
  <r>
    <x v="25"/>
    <s v="ND-H4M990Y11"/>
    <s v="Tiwa Savage"/>
    <s v="08012345678"/>
    <s v="AC-003"/>
    <x v="1"/>
    <x v="1"/>
    <n v="1"/>
    <n v="380000"/>
    <n v="380000"/>
    <x v="1"/>
  </r>
  <r>
    <x v="26"/>
    <s v="ND-G7N112Z22"/>
    <s v="Burna Boy"/>
    <s v="09088776655"/>
    <s v="MB-003"/>
    <x v="2"/>
    <x v="26"/>
    <n v="1"/>
    <n v="1450000"/>
    <n v="1450000"/>
    <x v="0"/>
  </r>
  <r>
    <x v="18"/>
    <s v="ND-G7N112Z22"/>
    <s v="Burna Boy"/>
    <s v="09088776655"/>
    <s v="AC-001"/>
    <x v="1"/>
    <x v="8"/>
    <n v="1"/>
    <n v="1100000"/>
    <n v="1100000"/>
    <x v="0"/>
  </r>
  <r>
    <x v="27"/>
    <s v="ND-F9P334A33"/>
    <s v="Simi Kosoko"/>
    <s v="07044332211"/>
    <s v="IP-014P"/>
    <x v="0"/>
    <x v="9"/>
    <n v="1"/>
    <n v="1250000"/>
    <n v="1250000"/>
    <x v="2"/>
  </r>
  <r>
    <x v="17"/>
    <s v="ND-E2Q556B44"/>
    <s v="Falz D."/>
    <s v="08066554433"/>
    <s v="LT-004"/>
    <x v="4"/>
    <x v="27"/>
    <n v="1"/>
    <n v="2100000"/>
    <n v="2100000"/>
    <x v="0"/>
  </r>
  <r>
    <x v="28"/>
    <s v="ND-D5R778C55"/>
    <s v="Yemi Alade"/>
    <s v="09011223344"/>
    <s v="TB-002"/>
    <x v="5"/>
    <x v="28"/>
    <n v="2"/>
    <n v="850000"/>
    <n v="1700000"/>
    <x v="1"/>
  </r>
  <r>
    <x v="28"/>
    <s v="ND-C8S990D66"/>
    <s v="Patoranking"/>
    <s v="08122334455"/>
    <s v="TV-002"/>
    <x v="3"/>
    <x v="3"/>
    <n v="1"/>
    <n v="1850000"/>
    <n v="1850000"/>
    <x v="0"/>
  </r>
  <r>
    <x v="29"/>
    <s v="ND-B1T112E77"/>
    <s v="Rema D."/>
    <s v="08099887766"/>
    <s v="IP-015PM"/>
    <x v="0"/>
    <x v="0"/>
    <n v="1"/>
    <n v="1900000"/>
    <n v="1900000"/>
    <x v="2"/>
  </r>
  <r>
    <x v="30"/>
    <s v="ND-A4U334F88"/>
    <s v="Ayra Starr"/>
    <s v="07055443322"/>
    <s v="AC-005"/>
    <x v="1"/>
    <x v="5"/>
    <n v="5"/>
    <n v="45000"/>
    <n v="225000"/>
    <x v="0"/>
  </r>
  <r>
    <x v="31"/>
    <s v="ND-Z7V556G99"/>
    <s v="Don Jazzy"/>
    <s v="08100223344"/>
    <s v="MB-001"/>
    <x v="2"/>
    <x v="17"/>
    <n v="1"/>
    <n v="4200000"/>
    <n v="4200000"/>
    <x v="1"/>
  </r>
  <r>
    <x v="14"/>
    <s v="ND-Z7V556G99"/>
    <s v="Don Jazzy"/>
    <s v="08100223344"/>
    <s v="TB-004"/>
    <x v="5"/>
    <x v="18"/>
    <n v="1"/>
    <n v="1350000"/>
    <n v="1350000"/>
    <x v="1"/>
  </r>
  <r>
    <x v="32"/>
    <s v="ND-Y9W778H11"/>
    <s v="Davido A."/>
    <s v="09033445566"/>
    <s v="IP-015P"/>
    <x v="0"/>
    <x v="25"/>
    <n v="2"/>
    <n v="1650000"/>
    <n v="3300000"/>
    <x v="0"/>
  </r>
  <r>
    <x v="33"/>
    <s v="ND-Y9W778H11"/>
    <s v="Davido A."/>
    <s v="09033445566"/>
    <s v="AC-004"/>
    <x v="1"/>
    <x v="15"/>
    <n v="2"/>
    <n v="550000"/>
    <n v="1100000"/>
    <x v="0"/>
  </r>
  <r>
    <x v="34"/>
    <s v="ND-W2X990J22"/>
    <s v="Tems O."/>
    <s v="08022334455"/>
    <s v="IP-014PM"/>
    <x v="0"/>
    <x v="22"/>
    <n v="1"/>
    <n v="1450000"/>
    <n v="1450000"/>
    <x v="2"/>
  </r>
  <r>
    <x v="35"/>
    <s v="ND-V5Y112K33"/>
    <s v="Fireboy DML"/>
    <s v="07066778899"/>
    <s v="MB-005"/>
    <x v="2"/>
    <x v="29"/>
    <n v="1"/>
    <n v="1250000"/>
    <n v="1250000"/>
    <x v="1"/>
  </r>
  <r>
    <x v="36"/>
    <s v="ND-U8Z334L44"/>
    <s v="Joeboy"/>
    <s v="08177889900"/>
    <s v="LT-002"/>
    <x v="4"/>
    <x v="14"/>
    <n v="1"/>
    <n v="1100000"/>
    <n v="1100000"/>
    <x v="0"/>
  </r>
  <r>
    <x v="37"/>
    <s v="ND-T1A556M55"/>
    <s v="Ruger"/>
    <s v="09011223344"/>
    <s v="AC-006"/>
    <x v="1"/>
    <x v="12"/>
    <n v="1"/>
    <n v="850000"/>
    <n v="850000"/>
    <x v="1"/>
  </r>
  <r>
    <x v="38"/>
    <s v="ND-S4B778N66"/>
    <s v="Crayon"/>
    <s v="08055443322"/>
    <s v="IP-013"/>
    <x v="0"/>
    <x v="4"/>
    <n v="1"/>
    <n v="880000"/>
    <n v="880000"/>
    <x v="2"/>
  </r>
  <r>
    <x v="39"/>
    <s v="ND-R7C990P77"/>
    <s v="Victony"/>
    <s v="07033221100"/>
    <s v="TB-003"/>
    <x v="5"/>
    <x v="30"/>
    <n v="1"/>
    <n v="620000"/>
    <n v="620000"/>
    <x v="0"/>
  </r>
  <r>
    <x v="40"/>
    <s v="ND-Q9D112Q88"/>
    <s v="Bella Shmurda"/>
    <s v="08011224466"/>
    <s v="TV-001"/>
    <x v="3"/>
    <x v="23"/>
    <n v="1"/>
    <n v="1600000"/>
    <n v="1600000"/>
    <x v="1"/>
  </r>
  <r>
    <x v="41"/>
    <s v="ND-P2E334R99"/>
    <s v="Zinoleesky"/>
    <s v="09077889911"/>
    <s v="AC-002"/>
    <x v="1"/>
    <x v="24"/>
    <n v="1"/>
    <n v="580000"/>
    <n v="580000"/>
    <x v="0"/>
  </r>
  <r>
    <x v="42"/>
    <s v="ND-O5F556S11"/>
    <s v="Mohbad"/>
    <s v="08122335577"/>
    <s v="LT-003"/>
    <x v="4"/>
    <x v="31"/>
    <n v="2"/>
    <n v="450000"/>
    <n v="900000"/>
    <x v="2"/>
  </r>
  <r>
    <x v="43"/>
    <s v="ND-N8G778T22"/>
    <s v="Seyi Vibez"/>
    <s v="08099881122"/>
    <s v="IP-011"/>
    <x v="0"/>
    <x v="19"/>
    <n v="1"/>
    <n v="450000"/>
    <n v="450000"/>
    <x v="1"/>
  </r>
  <r>
    <x v="44"/>
    <s v="ND-M1H990U33"/>
    <s v="Asake"/>
    <s v="07055441122"/>
    <s v="MB-004"/>
    <x v="2"/>
    <x v="21"/>
    <n v="1"/>
    <n v="1950000"/>
    <n v="1950000"/>
    <x v="0"/>
  </r>
  <r>
    <x v="19"/>
    <s v="ND-L4J112V44"/>
    <s v="Omah Lay"/>
    <s v="08044332211"/>
    <s v="AC-003"/>
    <x v="1"/>
    <x v="1"/>
    <n v="3"/>
    <n v="380000"/>
    <n v="1140000"/>
    <x v="1"/>
  </r>
  <r>
    <x v="45"/>
    <s v="ND-K7K334W55"/>
    <s v="Blaqbonez"/>
    <s v="09022334455"/>
    <s v="IP-015PM"/>
    <x v="0"/>
    <x v="0"/>
    <n v="1"/>
    <n v="1900000"/>
    <n v="1900000"/>
    <x v="0"/>
  </r>
  <r>
    <x v="46"/>
    <s v="ND-J9L556X66"/>
    <s v="Odumodublvck"/>
    <s v="08012345678"/>
    <s v="AC-006"/>
    <x v="1"/>
    <x v="12"/>
    <n v="1"/>
    <n v="850000"/>
    <n v="850000"/>
    <x v="2"/>
  </r>
  <r>
    <x v="47"/>
    <s v="ND-H2M778Y77"/>
    <s v="Shallipopi"/>
    <s v="09088776655"/>
    <s v="MB-006"/>
    <x v="2"/>
    <x v="10"/>
    <n v="1"/>
    <n v="950000"/>
    <n v="950000"/>
    <x v="1"/>
  </r>
  <r>
    <x v="48"/>
    <s v="ND-G5N990Z88"/>
    <s v="Spyro"/>
    <s v="07044332211"/>
    <s v="IP-014"/>
    <x v="0"/>
    <x v="32"/>
    <n v="1"/>
    <n v="1050000"/>
    <n v="1050000"/>
    <x v="0"/>
  </r>
  <r>
    <x v="49"/>
    <s v="ND-F8P112A99"/>
    <s v="Zlatan Ibile"/>
    <s v="08066554433"/>
    <s v="TV-003"/>
    <x v="3"/>
    <x v="13"/>
    <n v="1"/>
    <n v="650000"/>
    <n v="650000"/>
    <x v="2"/>
  </r>
  <r>
    <x v="48"/>
    <s v="ND-E1Q334B11"/>
    <s v="Naira Marley"/>
    <s v="09011223344"/>
    <s v="LT-001"/>
    <x v="4"/>
    <x v="20"/>
    <n v="1"/>
    <n v="950000"/>
    <n v="950000"/>
    <x v="1"/>
  </r>
  <r>
    <x v="50"/>
    <s v="ND-D4R556C22"/>
    <s v="Lil Kesh"/>
    <s v="08122334455"/>
    <s v="IP-015"/>
    <x v="0"/>
    <x v="11"/>
    <n v="1"/>
    <n v="1150000"/>
    <n v="1150000"/>
    <x v="0"/>
  </r>
  <r>
    <x v="1"/>
    <s v="ND-C7S778D33"/>
    <s v="Reekado Banks"/>
    <s v="08099887766"/>
    <s v="AC-005"/>
    <x v="1"/>
    <x v="5"/>
    <n v="10"/>
    <n v="45000"/>
    <n v="450000"/>
    <x v="0"/>
  </r>
  <r>
    <x v="51"/>
    <s v="ND-B9T990E44"/>
    <s v="Korede Bello"/>
    <s v="07055443322"/>
    <s v="TB-002"/>
    <x v="5"/>
    <x v="28"/>
    <n v="1"/>
    <n v="850000"/>
    <n v="850000"/>
    <x v="1"/>
  </r>
  <r>
    <x v="52"/>
    <s v="ND-A2U112F55"/>
    <s v="Di'ja"/>
    <s v="08100223344"/>
    <s v="AC-002"/>
    <x v="1"/>
    <x v="24"/>
    <n v="1"/>
    <n v="580000"/>
    <n v="580000"/>
    <x v="2"/>
  </r>
  <r>
    <x v="53"/>
    <s v="ND-Z5V334G66"/>
    <s v="Dr. SID"/>
    <s v="09033445566"/>
    <s v="MB-002"/>
    <x v="2"/>
    <x v="2"/>
    <n v="1"/>
    <n v="2850000"/>
    <n v="2850000"/>
    <x v="0"/>
  </r>
  <r>
    <x v="54"/>
    <s v="ND-Y8W556H77"/>
    <s v="D'Prince"/>
    <s v="08022334455"/>
    <s v="IP-015P"/>
    <x v="0"/>
    <x v="25"/>
    <n v="1"/>
    <n v="1650000"/>
    <n v="1650000"/>
    <x v="1"/>
  </r>
  <r>
    <x v="18"/>
    <s v="ND-X1X778J88"/>
    <s v="Ikechukwu"/>
    <s v="07066778899"/>
    <s v="TV-002"/>
    <x v="3"/>
    <x v="3"/>
    <n v="1"/>
    <n v="1850000"/>
    <n v="1850000"/>
    <x v="0"/>
  </r>
  <r>
    <x v="55"/>
    <s v="ND-W4Y990K99"/>
    <s v="Naeto C"/>
    <s v="08177889900"/>
    <s v="LT-005"/>
    <x v="4"/>
    <x v="6"/>
    <n v="1"/>
    <n v="1800000"/>
    <n v="1800000"/>
    <x v="2"/>
  </r>
  <r>
    <x v="56"/>
    <s v="ND-V7Z112L11"/>
    <s v="MI Abaga"/>
    <s v="09011223344"/>
    <s v="IP-014PM"/>
    <x v="0"/>
    <x v="22"/>
    <n v="1"/>
    <n v="1450000"/>
    <n v="1450000"/>
    <x v="1"/>
  </r>
  <r>
    <x v="57"/>
    <s v="ND-V7Z112L11"/>
    <s v="MI Abaga"/>
    <s v="09011223344"/>
    <s v="AC-001"/>
    <x v="1"/>
    <x v="8"/>
    <n v="1"/>
    <n v="1100000"/>
    <n v="1100000"/>
    <x v="1"/>
  </r>
  <r>
    <x v="58"/>
    <s v="ND-U9A334M22"/>
    <s v="Ice Prince"/>
    <s v="08055443322"/>
    <s v="MB-003"/>
    <x v="2"/>
    <x v="26"/>
    <n v="1"/>
    <n v="1450000"/>
    <n v="1450000"/>
    <x v="0"/>
  </r>
  <r>
    <x v="59"/>
    <s v="ND-T2B556N33"/>
    <s v="Jesse Jagz"/>
    <s v="07033221100"/>
    <s v="AC-004"/>
    <x v="1"/>
    <x v="15"/>
    <n v="1"/>
    <n v="550000"/>
    <n v="550000"/>
    <x v="2"/>
  </r>
  <r>
    <x v="60"/>
    <s v="ND-S5C778P44"/>
    <s v="Brymo"/>
    <s v="08011224466"/>
    <s v="IP-013PM"/>
    <x v="0"/>
    <x v="33"/>
    <n v="1"/>
    <n v="1100000"/>
    <n v="1100000"/>
    <x v="1"/>
  </r>
  <r>
    <x v="61"/>
    <s v="ND-R8D990Q55"/>
    <s v="Vector"/>
    <s v="09077889911"/>
    <s v="TB-004"/>
    <x v="5"/>
    <x v="18"/>
    <n v="1"/>
    <n v="1350000"/>
    <n v="1350000"/>
    <x v="0"/>
  </r>
  <r>
    <x v="62"/>
    <s v="ND-Q1E112R66"/>
    <s v="Reminisce"/>
    <s v="08122335577"/>
    <s v="LT-002"/>
    <x v="4"/>
    <x v="14"/>
    <n v="1"/>
    <n v="1100000"/>
    <n v="1100000"/>
    <x v="2"/>
  </r>
  <r>
    <x v="63"/>
    <s v="ND-P4F334S77"/>
    <s v="Phyno"/>
    <s v="08099881122"/>
    <s v="IP-015PM"/>
    <x v="0"/>
    <x v="0"/>
    <n v="1"/>
    <n v="1900000"/>
    <n v="1900000"/>
    <x v="1"/>
  </r>
  <r>
    <x v="64"/>
    <s v="ND-O7G556T88"/>
    <s v="Flavour N'abania"/>
    <s v="07055441122"/>
    <s v="MB-001"/>
    <x v="2"/>
    <x v="17"/>
    <n v="1"/>
    <n v="4200000"/>
    <n v="4200000"/>
    <x v="0"/>
  </r>
  <r>
    <x v="65"/>
    <s v="ND-N9H778U99"/>
    <s v="Tekno Miles"/>
    <s v="08044332211"/>
    <s v="AC-003"/>
    <x v="1"/>
    <x v="1"/>
    <n v="2"/>
    <n v="380000"/>
    <n v="760000"/>
    <x v="1"/>
  </r>
  <r>
    <x v="66"/>
    <s v="ND-M2J990V11"/>
    <s v="Duncan Mighty"/>
    <s v="09022334455"/>
    <s v="TV-001"/>
    <x v="3"/>
    <x v="23"/>
    <n v="1"/>
    <n v="1600000"/>
    <n v="1600000"/>
    <x v="2"/>
  </r>
  <r>
    <x v="67"/>
    <s v="ND-L5K112W22"/>
    <s v="Timaya"/>
    <s v="08012345678"/>
    <s v="IP-014P"/>
    <x v="0"/>
    <x v="9"/>
    <n v="1"/>
    <n v="1250000"/>
    <n v="1250000"/>
    <x v="1"/>
  </r>
  <r>
    <x v="68"/>
    <s v="ND-K8L334X33"/>
    <s v="Terry G"/>
    <s v="09088776655"/>
    <s v="MB-006"/>
    <x v="2"/>
    <x v="10"/>
    <n v="2"/>
    <n v="950000"/>
    <n v="1900000"/>
    <x v="0"/>
  </r>
  <r>
    <x v="69"/>
    <s v="ND-J1M556Y44"/>
    <s v="Kcee"/>
    <s v="07044332211"/>
    <s v="IP-012"/>
    <x v="0"/>
    <x v="16"/>
    <n v="1"/>
    <n v="650000"/>
    <n v="650000"/>
    <x v="1"/>
  </r>
  <r>
    <x v="70"/>
    <s v="ND-H4N778Z55"/>
    <s v="Harrysong"/>
    <s v="08066554433"/>
    <s v="AC-005"/>
    <x v="1"/>
    <x v="5"/>
    <n v="4"/>
    <n v="45000"/>
    <n v="180000"/>
    <x v="2"/>
  </r>
  <r>
    <x v="12"/>
    <s v="ND-G6P990A66"/>
    <s v="Skiibii"/>
    <s v="09011223344"/>
    <s v="LT-004"/>
    <x v="4"/>
    <x v="27"/>
    <n v="1"/>
    <n v="2100000"/>
    <n v="2100000"/>
    <x v="0"/>
  </r>
  <r>
    <x v="71"/>
    <s v="ND-F9Q112B77"/>
    <s v="Iyanya"/>
    <s v="08122334455"/>
    <s v="IP-015"/>
    <x v="0"/>
    <x v="11"/>
    <n v="1"/>
    <n v="1150000"/>
    <n v="1150000"/>
    <x v="1"/>
  </r>
  <r>
    <x v="72"/>
    <s v="ND-E2R334C88"/>
    <s v="Solidstar"/>
    <s v="08099887766"/>
    <s v="TB-001"/>
    <x v="5"/>
    <x v="7"/>
    <n v="1"/>
    <n v="1550000"/>
    <n v="1550000"/>
    <x v="2"/>
  </r>
  <r>
    <x v="31"/>
    <s v="ND-D5S556D99"/>
    <s v="Orezi"/>
    <s v="07055443322"/>
    <s v="TV-003"/>
    <x v="3"/>
    <x v="13"/>
    <n v="1"/>
    <n v="650000"/>
    <n v="650000"/>
    <x v="0"/>
  </r>
  <r>
    <x v="73"/>
    <s v="ND-C8T778E11"/>
    <s v="Mayorkun"/>
    <s v="08100223344"/>
    <s v="AC-006"/>
    <x v="1"/>
    <x v="12"/>
    <n v="1"/>
    <n v="850000"/>
    <n v="850000"/>
    <x v="1"/>
  </r>
  <r>
    <x v="74"/>
    <s v="ND-B1U990F22"/>
    <s v="Peruzzi"/>
    <s v="09033445566"/>
    <s v="MB-005"/>
    <x v="2"/>
    <x v="29"/>
    <n v="1"/>
    <n v="1250000"/>
    <n v="1250000"/>
    <x v="2"/>
  </r>
  <r>
    <x v="75"/>
    <s v="ND-A4V112G33"/>
    <s v="Dremo"/>
    <s v="08022334455"/>
    <s v="IP-011"/>
    <x v="0"/>
    <x v="19"/>
    <n v="1"/>
    <n v="450000"/>
    <n v="450000"/>
    <x v="0"/>
  </r>
  <r>
    <x v="76"/>
    <s v="ND-Z7W334H44"/>
    <s v="Ichaba"/>
    <s v="07066778899"/>
    <s v="LT-001"/>
    <x v="4"/>
    <x v="20"/>
    <n v="1"/>
    <n v="950000"/>
    <n v="950000"/>
    <x v="1"/>
  </r>
  <r>
    <x v="77"/>
    <s v="ND-Y9X556J55"/>
    <s v="Ycee"/>
    <s v="08177889900"/>
    <s v="AC-002"/>
    <x v="1"/>
    <x v="24"/>
    <n v="1"/>
    <n v="580000"/>
    <n v="580000"/>
    <x v="0"/>
  </r>
  <r>
    <x v="30"/>
    <s v="ND-X2Y778K66"/>
    <s v="Reekado B."/>
    <s v="09011223344"/>
    <s v="MB-002"/>
    <x v="2"/>
    <x v="2"/>
    <n v="1"/>
    <n v="2850000"/>
    <n v="2850000"/>
    <x v="2"/>
  </r>
  <r>
    <x v="78"/>
    <s v="ND-W5Z990L77"/>
    <s v="Lil Kesh"/>
    <s v="08055443322"/>
    <s v="IP-015P"/>
    <x v="0"/>
    <x v="25"/>
    <n v="1"/>
    <n v="1650000"/>
    <n v="1650000"/>
    <x v="1"/>
  </r>
  <r>
    <x v="79"/>
    <s v="ND-V8A112M88"/>
    <s v="Adekunle Gold"/>
    <s v="07033221100"/>
    <s v="TV-002"/>
    <x v="3"/>
    <x v="3"/>
    <n v="1"/>
    <n v="1850000"/>
    <n v="1850000"/>
    <x v="0"/>
  </r>
  <r>
    <x v="80"/>
    <s v="ND-U1B334N99"/>
    <s v="Chike"/>
    <s v="08011224466"/>
    <s v="AC-001"/>
    <x v="1"/>
    <x v="8"/>
    <n v="1"/>
    <n v="1100000"/>
    <n v="1100000"/>
    <x v="1"/>
  </r>
  <r>
    <x v="81"/>
    <s v="ND-T4C556P11"/>
    <s v="Fireboy"/>
    <s v="09077889911"/>
    <s v="IP-014PM"/>
    <x v="0"/>
    <x v="22"/>
    <n v="1"/>
    <n v="1450000"/>
    <n v="1450000"/>
    <x v="2"/>
  </r>
  <r>
    <x v="14"/>
    <s v="ND-S7D778Q22"/>
    <s v="Joeboy"/>
    <s v="08122335577"/>
    <s v="MB-004"/>
    <x v="2"/>
    <x v="21"/>
    <n v="1"/>
    <n v="1950000"/>
    <n v="1950000"/>
    <x v="0"/>
  </r>
  <r>
    <x v="82"/>
    <s v="ND-R9E990R33"/>
    <s v="Oxlade"/>
    <s v="08099881122"/>
    <s v="LT-005"/>
    <x v="4"/>
    <x v="6"/>
    <n v="1"/>
    <n v="1800000"/>
    <n v="1800000"/>
    <x v="1"/>
  </r>
  <r>
    <x v="83"/>
    <s v="ND-Q2F112S44"/>
    <s v="Blaqbonez"/>
    <s v="07055441122"/>
    <s v="AC-004"/>
    <x v="1"/>
    <x v="15"/>
    <n v="1"/>
    <n v="550000"/>
    <n v="550000"/>
    <x v="0"/>
  </r>
  <r>
    <x v="84"/>
    <s v="ND-P5G334T55"/>
    <s v="PsychoYP"/>
    <s v="08044332211"/>
    <s v="IP-013"/>
    <x v="0"/>
    <x v="4"/>
    <n v="1"/>
    <n v="880000"/>
    <n v="880000"/>
    <x v="2"/>
  </r>
  <r>
    <x v="55"/>
    <s v="ND-O8H556U66"/>
    <s v="Ladipoe"/>
    <s v="09022334455"/>
    <s v="TB-002"/>
    <x v="5"/>
    <x v="28"/>
    <n v="1"/>
    <n v="850000"/>
    <n v="850000"/>
    <x v="1"/>
  </r>
  <r>
    <x v="85"/>
    <s v="ND-N1J778V77"/>
    <s v="Johnny Drille"/>
    <s v="08012345678"/>
    <s v="AC-003"/>
    <x v="1"/>
    <x v="1"/>
    <n v="1"/>
    <n v="380000"/>
    <n v="3800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0869CC-BB41-4CB9-A823-080377AFCE5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rowHeaderCaption="Year">
  <location ref="H13:I17" firstHeaderRow="1"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showAll="0">
      <items count="7">
        <item x="1"/>
        <item x="0"/>
        <item x="4"/>
        <item x="2"/>
        <item x="5"/>
        <item x="3"/>
        <item t="default"/>
      </items>
    </pivotField>
    <pivotField showAll="0"/>
    <pivotField showAll="0"/>
    <pivotField numFmtId="44" showAll="0"/>
    <pivotField dataField="1" numFmtId="44" showAll="0"/>
    <pivotField axis="axisRow" showAll="0">
      <items count="4">
        <item x="2"/>
        <item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0"/>
  </rowFields>
  <rowItems count="4">
    <i>
      <x/>
    </i>
    <i>
      <x v="1"/>
    </i>
    <i>
      <x v="2"/>
    </i>
    <i t="grand">
      <x/>
    </i>
  </rowItems>
  <colItems count="1">
    <i/>
  </colItems>
  <dataFields count="1">
    <dataField name="Revenue" fld="9" baseField="10" baseItem="0" numFmtId="164"/>
  </dataFields>
  <formats count="1">
    <format dxfId="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2"/>
          </reference>
        </references>
      </pivotArea>
    </chartFormat>
    <chartFormat chart="0" format="2">
      <pivotArea type="data" outline="0" fieldPosition="0">
        <references count="2">
          <reference field="4294967294" count="1" selected="0">
            <x v="0"/>
          </reference>
          <reference field="10" count="1" selected="0">
            <x v="0"/>
          </reference>
        </references>
      </pivotArea>
    </chartFormat>
    <chartFormat chart="0" format="3">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FD60F0-F663-4F30-9053-015F4F52D64E}"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Categories">
  <location ref="H3:J10" firstHeaderRow="0"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axis="axisRow" showAll="0" sortType="descending">
      <items count="7">
        <item x="1"/>
        <item x="0"/>
        <item x="4"/>
        <item x="2"/>
        <item x="5"/>
        <item x="3"/>
        <item t="default"/>
      </items>
      <autoSortScope>
        <pivotArea dataOnly="0" outline="0" fieldPosition="0">
          <references count="1">
            <reference field="4294967294" count="1" selected="0">
              <x v="1"/>
            </reference>
          </references>
        </pivotArea>
      </autoSortScope>
    </pivotField>
    <pivotField showAll="0"/>
    <pivotField dataField="1" showAll="0"/>
    <pivotField numFmtId="44" showAll="0"/>
    <pivotField dataField="1"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5"/>
  </rowFields>
  <rowItems count="7">
    <i>
      <x v="3"/>
    </i>
    <i>
      <x v="1"/>
    </i>
    <i>
      <x/>
    </i>
    <i>
      <x v="2"/>
    </i>
    <i>
      <x v="5"/>
    </i>
    <i>
      <x v="4"/>
    </i>
    <i t="grand">
      <x/>
    </i>
  </rowItems>
  <colFields count="1">
    <field x="-2"/>
  </colFields>
  <colItems count="2">
    <i>
      <x/>
    </i>
    <i i="1">
      <x v="1"/>
    </i>
  </colItems>
  <dataFields count="2">
    <dataField name="Sum of Quantity" fld="7" baseField="0" baseItem="0"/>
    <dataField name="Sum of Total" fld="9" baseField="0" baseItem="0" numFmtId="164"/>
  </dataFields>
  <formats count="1">
    <format dxfId="1">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7008D0-59F5-4501-9F2C-ED3A4EA1633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rowHeaderCaption="Products">
  <location ref="E3:F14" firstHeaderRow="1"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showAll="0">
      <items count="7">
        <item x="1"/>
        <item x="0"/>
        <item x="4"/>
        <item x="2"/>
        <item x="5"/>
        <item x="3"/>
        <item t="default"/>
      </items>
    </pivotField>
    <pivotField axis="axisRow" showAll="0" measureFilter="1" sortType="descending">
      <items count="35">
        <item x="1"/>
        <item x="24"/>
        <item x="8"/>
        <item x="27"/>
        <item x="31"/>
        <item x="14"/>
        <item x="20"/>
        <item x="30"/>
        <item x="28"/>
        <item x="7"/>
        <item x="19"/>
        <item x="16"/>
        <item x="4"/>
        <item x="33"/>
        <item x="32"/>
        <item x="9"/>
        <item x="22"/>
        <item x="11"/>
        <item x="25"/>
        <item x="0"/>
        <item x="6"/>
        <item x="3"/>
        <item x="10"/>
        <item x="29"/>
        <item x="21"/>
        <item x="26"/>
        <item x="2"/>
        <item x="17"/>
        <item x="5"/>
        <item x="13"/>
        <item x="12"/>
        <item x="23"/>
        <item x="18"/>
        <item x="15"/>
        <item t="default"/>
      </items>
      <autoSortScope>
        <pivotArea dataOnly="0" outline="0" fieldPosition="0">
          <references count="1">
            <reference field="4294967294" count="1" selected="0">
              <x v="0"/>
            </reference>
          </references>
        </pivotArea>
      </autoSortScope>
    </pivotField>
    <pivotField showAll="0"/>
    <pivotField numFmtId="44" showAll="0"/>
    <pivotField dataField="1"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6"/>
  </rowFields>
  <rowItems count="11">
    <i>
      <x v="27"/>
    </i>
    <i>
      <x v="26"/>
    </i>
    <i>
      <x v="18"/>
    </i>
    <i>
      <x v="22"/>
    </i>
    <i>
      <x v="19"/>
    </i>
    <i>
      <x v="21"/>
    </i>
    <i>
      <x v="24"/>
    </i>
    <i>
      <x v="16"/>
    </i>
    <i>
      <x v="20"/>
    </i>
    <i>
      <x v="31"/>
    </i>
    <i t="grand">
      <x/>
    </i>
  </rowItems>
  <colItems count="1">
    <i/>
  </colItems>
  <dataFields count="1">
    <dataField name="Sum of Total" fld="9" baseField="0" baseItem="0" numFmtId="164"/>
  </dataFields>
  <formats count="1">
    <format dxfId="2">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F24B1C5-C8A9-4BE1-9C28-CE4DBC1031BC}"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Year">
  <location ref="A20:C23" firstHeaderRow="0"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showAll="0">
      <items count="7">
        <item x="1"/>
        <item x="0"/>
        <item x="4"/>
        <item x="2"/>
        <item x="5"/>
        <item x="3"/>
        <item t="default"/>
      </items>
    </pivotField>
    <pivotField showAll="0"/>
    <pivotField dataField="1" showAll="0"/>
    <pivotField numFmtId="44" showAll="0"/>
    <pivotField dataField="1" numFmtId="44"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sd="0" x="1"/>
        <item sd="0" x="2"/>
        <item sd="0" x="3"/>
        <item t="default"/>
      </items>
    </pivotField>
  </pivotFields>
  <rowFields count="1">
    <field x="13"/>
  </rowFields>
  <rowItems count="3">
    <i>
      <x v="1"/>
    </i>
    <i>
      <x v="2"/>
    </i>
    <i t="grand">
      <x/>
    </i>
  </rowItems>
  <colFields count="1">
    <field x="-2"/>
  </colFields>
  <colItems count="2">
    <i>
      <x/>
    </i>
    <i i="1">
      <x v="1"/>
    </i>
  </colItems>
  <dataFields count="2">
    <dataField name="Sum of Quantity" fld="7" baseField="0" baseItem="0"/>
    <dataField name="Sum of Total" fld="9" baseField="0" baseItem="0"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5B46BD-C32F-4138-AFB9-11B14DF46848}"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Month">
  <location ref="A3:B16" firstHeaderRow="1" firstDataRow="1" firstDataCol="1"/>
  <pivotFields count="14">
    <pivotField numFmtId="14" showAll="0">
      <items count="87">
        <item x="11"/>
        <item x="59"/>
        <item x="81"/>
        <item x="36"/>
        <item x="46"/>
        <item x="58"/>
        <item x="24"/>
        <item x="66"/>
        <item x="35"/>
        <item x="7"/>
        <item x="55"/>
        <item x="43"/>
        <item x="15"/>
        <item x="52"/>
        <item x="47"/>
        <item x="19"/>
        <item x="60"/>
        <item x="16"/>
        <item x="1"/>
        <item x="38"/>
        <item x="28"/>
        <item x="57"/>
        <item x="82"/>
        <item x="0"/>
        <item x="45"/>
        <item x="76"/>
        <item x="41"/>
        <item x="71"/>
        <item x="79"/>
        <item x="65"/>
        <item x="20"/>
        <item x="13"/>
        <item x="26"/>
        <item x="12"/>
        <item x="67"/>
        <item x="54"/>
        <item x="85"/>
        <item x="64"/>
        <item x="75"/>
        <item x="51"/>
        <item x="37"/>
        <item x="70"/>
        <item x="14"/>
        <item x="34"/>
        <item x="62"/>
        <item x="39"/>
        <item x="80"/>
        <item x="6"/>
        <item x="53"/>
        <item x="72"/>
        <item x="77"/>
        <item x="56"/>
        <item x="9"/>
        <item x="22"/>
        <item x="27"/>
        <item x="23"/>
        <item x="74"/>
        <item x="8"/>
        <item x="33"/>
        <item x="49"/>
        <item x="31"/>
        <item x="44"/>
        <item x="69"/>
        <item x="48"/>
        <item x="17"/>
        <item x="3"/>
        <item x="25"/>
        <item x="83"/>
        <item x="78"/>
        <item x="2"/>
        <item x="18"/>
        <item x="63"/>
        <item x="29"/>
        <item x="42"/>
        <item x="50"/>
        <item x="68"/>
        <item x="73"/>
        <item x="84"/>
        <item x="61"/>
        <item x="30"/>
        <item x="32"/>
        <item x="10"/>
        <item x="21"/>
        <item x="4"/>
        <item x="40"/>
        <item x="5"/>
        <item t="default"/>
      </items>
    </pivotField>
    <pivotField showAll="0"/>
    <pivotField showAll="0"/>
    <pivotField showAll="0"/>
    <pivotField showAll="0"/>
    <pivotField showAll="0">
      <items count="7">
        <item x="1"/>
        <item x="0"/>
        <item x="4"/>
        <item x="2"/>
        <item x="5"/>
        <item x="3"/>
        <item t="default"/>
      </items>
    </pivotField>
    <pivotField showAll="0"/>
    <pivotField showAll="0"/>
    <pivotField numFmtId="44" showAll="0"/>
    <pivotField dataField="1" numFmtId="4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5">
        <item sd="0" x="0"/>
        <item sd="0" x="1"/>
        <item sd="0" x="2"/>
        <item sd="0" x="3"/>
        <item t="default"/>
      </items>
    </pivotField>
  </pivotFields>
  <rowFields count="1">
    <field x="11"/>
  </rowFields>
  <rowItems count="13">
    <i>
      <x v="1"/>
    </i>
    <i>
      <x v="2"/>
    </i>
    <i>
      <x v="3"/>
    </i>
    <i>
      <x v="4"/>
    </i>
    <i>
      <x v="5"/>
    </i>
    <i>
      <x v="6"/>
    </i>
    <i>
      <x v="7"/>
    </i>
    <i>
      <x v="8"/>
    </i>
    <i>
      <x v="9"/>
    </i>
    <i>
      <x v="10"/>
    </i>
    <i>
      <x v="11"/>
    </i>
    <i>
      <x v="12"/>
    </i>
    <i t="grand">
      <x/>
    </i>
  </rowItems>
  <colItems count="1">
    <i/>
  </colItems>
  <dataFields count="1">
    <dataField name="Sum of Total" fld="9" baseField="0" baseItem="0" numFmtId="164"/>
  </dataFields>
  <formats count="1">
    <format dxfId="3">
      <pivotArea outline="0" collapsedLevelsAreSubtotals="1"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CF5162E0-4F97-4CBB-92D8-C4D3F6FC04BF}" sourceName="Years (Date)">
  <pivotTables>
    <pivotTable tabId="7" name="PivotTable1"/>
    <pivotTable tabId="7" name="PivotTable2"/>
    <pivotTable tabId="7" name="PivotTable3"/>
    <pivotTable tabId="7" name="PivotTable4"/>
    <pivotTable tabId="7" name="PivotTable5"/>
  </pivotTables>
  <data>
    <tabular pivotCacheId="1012456112">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D60D8DBA-C64D-4BDF-9A8C-C7193374D44B}" sourceName="Product Category">
  <pivotTables>
    <pivotTable tabId="7" name="PivotTable1"/>
    <pivotTable tabId="7" name="PivotTable2"/>
    <pivotTable tabId="7" name="PivotTable3"/>
    <pivotTable tabId="7" name="PivotTable5"/>
  </pivotTables>
  <data>
    <tabular pivotCacheId="1012456112">
      <items count="6">
        <i x="1" s="1"/>
        <i x="0" s="1"/>
        <i x="4" s="1"/>
        <i x="2" s="1"/>
        <i x="5"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Date)" xr10:uid="{3E06C8F2-362E-44E4-BD9F-7DC74984BE91}" cache="Slicer_Years__Date" caption="Years" columnCount="2" style="SlicerStyleOther2" lockedPosition="1" rowHeight="241300"/>
  <slicer name="Product Category" xr10:uid="{48225753-ED0C-4974-9B5F-43F325A2493B}" cache="Slicer_Product_Category" caption="Product Category" columnCount="3" style="SlicerStyleOther2" lockedPosition="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D15FF2-AF2D-416F-B139-6DD38BABC26E}" name="Table1" displayName="Table1" ref="A2:K105" totalsRowShown="0" headerRowDxfId="14">
  <autoFilter ref="A2:K105" xr:uid="{DED15FF2-AF2D-416F-B139-6DD38BABC26E}"/>
  <tableColumns count="11">
    <tableColumn id="1" xr3:uid="{36BC0BF6-58FC-45DC-A002-CF1689B34914}" name="Date" dataDxfId="13"/>
    <tableColumn id="2" xr3:uid="{C3F22272-CC6A-431C-BD63-646A1ED2588E}" name="Sales ID" dataDxfId="12"/>
    <tableColumn id="3" xr3:uid="{A36F2AD9-7AB6-48A1-B4AB-9AB403473169}" name="Customer Name" dataDxfId="11"/>
    <tableColumn id="4" xr3:uid="{ED1BD894-3E82-4971-89B2-4F9FAB7C732F}" name="Phone" dataDxfId="10"/>
    <tableColumn id="5" xr3:uid="{B310FA19-B06A-425C-9E48-BC4A24F34BBC}" name="Product ID" dataDxfId="9"/>
    <tableColumn id="6" xr3:uid="{D6FB35B2-81DF-46C6-8A09-ACC8852CA10C}" name="Product Category" dataDxfId="8"/>
    <tableColumn id="7" xr3:uid="{4552A6E8-BFD6-452F-B900-8628A33F783D}" name="Product" dataDxfId="7"/>
    <tableColumn id="8" xr3:uid="{C7364D08-D006-4503-B025-FBFA8D22A63E}" name="Quantity"/>
    <tableColumn id="9" xr3:uid="{4B34A373-81AD-492B-8D4C-055678C6F31B}" name="Unit Price" dataDxfId="6" dataCellStyle="Currency"/>
    <tableColumn id="10" xr3:uid="{D47B3E46-4CD6-4E67-8735-4E9A3D41DC4F}" name="Total" dataDxfId="5" dataCellStyle="Currency">
      <calculatedColumnFormula>Table1[[#This Row],[Quantity]]*Table1[[#This Row],[Unit Price]]</calculatedColumnFormula>
    </tableColumn>
    <tableColumn id="11" xr3:uid="{EC10D1C4-6ADF-4C20-A43D-CE6AB7F1AEF2}" name="Payment Method"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BYUI Colors">
      <a:dk1>
        <a:sysClr val="windowText" lastClr="000000"/>
      </a:dk1>
      <a:lt1>
        <a:sysClr val="window" lastClr="FFFFFF"/>
      </a:lt1>
      <a:dk2>
        <a:srgbClr val="006EB6"/>
      </a:dk2>
      <a:lt2>
        <a:srgbClr val="8DD3EE"/>
      </a:lt2>
      <a:accent1>
        <a:srgbClr val="80C140"/>
      </a:accent1>
      <a:accent2>
        <a:srgbClr val="A5216F"/>
      </a:accent2>
      <a:accent3>
        <a:srgbClr val="E42226"/>
      </a:accent3>
      <a:accent4>
        <a:srgbClr val="F7941D"/>
      </a:accent4>
      <a:accent5>
        <a:srgbClr val="FFE066"/>
      </a:accent5>
      <a:accent6>
        <a:srgbClr val="ADADAD"/>
      </a:accent6>
      <a:hlink>
        <a:srgbClr val="006EB6"/>
      </a:hlink>
      <a:folHlink>
        <a:srgbClr val="006EB6"/>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E4049-58B2-4BE2-9635-96C3A711479F}">
  <sheetPr codeName="Sheet5">
    <tabColor theme="3" tint="-0.499984740745262"/>
  </sheetPr>
  <dimension ref="A1"/>
  <sheetViews>
    <sheetView showGridLines="0" showRowColHeaders="0" tabSelected="1" zoomScale="110" zoomScaleNormal="110" workbookViewId="0">
      <selection activeCell="Q3" sqref="Q3"/>
    </sheetView>
  </sheetViews>
  <sheetFormatPr defaultRowHeight="14.25" x14ac:dyDescent="0.2"/>
  <cols>
    <col min="1" max="16384" width="9" style="13"/>
  </cols>
  <sheetData/>
  <sheetProtection sheet="1" objects="1" scenarios="1" selectLockedCell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696D1-FB29-4763-AE9E-E2B2AC3D7E5A}">
  <sheetPr codeName="Sheet3">
    <tabColor rgb="FFFFC000"/>
  </sheetPr>
  <dimension ref="B2:N35"/>
  <sheetViews>
    <sheetView showGridLines="0" showRowColHeaders="0" topLeftCell="B3" zoomScale="88" zoomScaleNormal="88" workbookViewId="0">
      <selection activeCell="C6" sqref="C6:E6"/>
      <extLst>
        <ext xmlns:xlsdti="http://schemas.microsoft.com/office/spreadsheetml/2023/showDataTypeIcons" uri="{77bfe23e-c014-4d31-8a63-9c772dbf06b6}">
          <xlsdti:showDataTypeIcons visible="0"/>
        </ext>
      </extLst>
    </sheetView>
  </sheetViews>
  <sheetFormatPr defaultColWidth="0" defaultRowHeight="14.25" zeroHeight="1" x14ac:dyDescent="0.2"/>
  <cols>
    <col min="1" max="1" width="9" hidden="1" customWidth="1"/>
    <col min="2" max="2" width="18" bestFit="1" customWidth="1"/>
    <col min="3" max="3" width="12.25" bestFit="1" customWidth="1"/>
    <col min="4" max="4" width="19.25" bestFit="1" customWidth="1"/>
    <col min="5" max="5" width="20.5" customWidth="1"/>
    <col min="6" max="6" width="11.5" bestFit="1" customWidth="1"/>
    <col min="7" max="7" width="12.75" bestFit="1" customWidth="1"/>
    <col min="8" max="8" width="15.125" bestFit="1" customWidth="1"/>
    <col min="9" max="14" width="0" hidden="1" customWidth="1"/>
    <col min="15" max="16384" width="9" hidden="1"/>
  </cols>
  <sheetData>
    <row r="2" spans="2:14" ht="15" hidden="1" thickBot="1" x14ac:dyDescent="0.25"/>
    <row r="3" spans="2:14" ht="30" x14ac:dyDescent="0.2">
      <c r="B3" s="43" t="s">
        <v>7</v>
      </c>
      <c r="C3" s="44"/>
      <c r="D3" s="44"/>
      <c r="E3" s="44"/>
      <c r="F3" s="44"/>
      <c r="G3" s="44"/>
      <c r="H3" s="45"/>
    </row>
    <row r="4" spans="2:14" x14ac:dyDescent="0.2">
      <c r="B4" s="46"/>
      <c r="C4" s="36"/>
      <c r="D4" s="36"/>
      <c r="E4" s="36"/>
      <c r="F4" s="36"/>
      <c r="G4" s="36"/>
      <c r="H4" s="47"/>
    </row>
    <row r="5" spans="2:14" ht="18" x14ac:dyDescent="0.25">
      <c r="B5" s="40" t="s">
        <v>23</v>
      </c>
      <c r="C5" s="41"/>
      <c r="D5" s="41"/>
      <c r="E5" s="42" t="s">
        <v>350</v>
      </c>
      <c r="F5" s="42"/>
      <c r="G5" s="14"/>
      <c r="H5" s="15"/>
    </row>
    <row r="6" spans="2:14" ht="18" x14ac:dyDescent="0.25">
      <c r="B6" s="8" t="s">
        <v>9</v>
      </c>
      <c r="C6" s="50"/>
      <c r="D6" s="50"/>
      <c r="E6" s="50"/>
      <c r="F6" s="27"/>
      <c r="G6" s="27"/>
      <c r="H6" s="3"/>
      <c r="M6" s="33"/>
      <c r="N6" s="33"/>
    </row>
    <row r="7" spans="2:14" ht="15" x14ac:dyDescent="0.25">
      <c r="B7" s="7" t="s">
        <v>10</v>
      </c>
      <c r="C7" s="51"/>
      <c r="D7" s="51"/>
      <c r="E7" s="51"/>
      <c r="F7" s="51"/>
      <c r="G7" s="51"/>
      <c r="H7" s="3"/>
    </row>
    <row r="8" spans="2:14" ht="15" x14ac:dyDescent="0.25">
      <c r="B8" s="7" t="s">
        <v>11</v>
      </c>
      <c r="C8" s="39" t="str">
        <f ca="1">IF(C6="","",TODAY())</f>
        <v/>
      </c>
      <c r="D8" s="39"/>
      <c r="E8" s="39"/>
      <c r="F8" s="39"/>
      <c r="G8" s="39"/>
      <c r="H8" s="3"/>
    </row>
    <row r="9" spans="2:14" x14ac:dyDescent="0.2">
      <c r="B9" s="2"/>
      <c r="H9" s="3"/>
    </row>
    <row r="10" spans="2:14" ht="15" x14ac:dyDescent="0.25">
      <c r="B10" s="9" t="s">
        <v>12</v>
      </c>
      <c r="C10" s="10" t="s">
        <v>1</v>
      </c>
      <c r="D10" s="10" t="s">
        <v>99</v>
      </c>
      <c r="E10" s="10" t="s">
        <v>13</v>
      </c>
      <c r="F10" s="10" t="s">
        <v>14</v>
      </c>
      <c r="G10" s="10" t="s">
        <v>4</v>
      </c>
      <c r="H10" s="11" t="s">
        <v>16</v>
      </c>
    </row>
    <row r="11" spans="2:14" x14ac:dyDescent="0.2">
      <c r="B11" s="2" t="str">
        <f>IF(E11="","","ID-"&amp;TEXT(ROW(A1),"000"))</f>
        <v/>
      </c>
      <c r="D11" t="str">
        <f>_xlfn.IFNA(_xlfn.XLOOKUP($E11,Products!$C$2:$C$35,Products!$B$2:$B$35),"")</f>
        <v/>
      </c>
      <c r="E11" s="25"/>
      <c r="F11" s="27"/>
      <c r="G11" s="21" t="str">
        <f>_xlfn.IFNA(_xlfn.XLOOKUP($E11,Products!$C$2:$C$35,Products!$D$2:$D$35),"")</f>
        <v/>
      </c>
      <c r="H11" s="22" t="str">
        <f>IF(F11="","",F11*G11)</f>
        <v/>
      </c>
    </row>
    <row r="12" spans="2:14" x14ac:dyDescent="0.2">
      <c r="B12" s="2" t="str">
        <f t="shared" ref="B12:B25" si="0">IF(E12="","","ID-"&amp;TEXT(ROW(A2),"000"))</f>
        <v/>
      </c>
      <c r="D12" t="str">
        <f>_xlfn.IFNA(_xlfn.XLOOKUP($E12,Products!$C$2:$C$35,Products!$B$2:$B$35),"")</f>
        <v/>
      </c>
      <c r="E12" s="26"/>
      <c r="F12" s="27"/>
      <c r="G12" s="21" t="str">
        <f>_xlfn.IFNA(_xlfn.XLOOKUP($E12,Products!$C$2:$C$35,Products!$D$2:$D$35),"")</f>
        <v/>
      </c>
      <c r="H12" s="20" t="str">
        <f t="shared" ref="H12:H25" si="1">IF(F12="","",F12*G12)</f>
        <v/>
      </c>
    </row>
    <row r="13" spans="2:14" x14ac:dyDescent="0.2">
      <c r="B13" s="2" t="str">
        <f t="shared" si="0"/>
        <v/>
      </c>
      <c r="D13" t="str">
        <f>_xlfn.IFNA(_xlfn.XLOOKUP($E13,Products!$C$2:$C$35,Products!$B$2:$B$35),"")</f>
        <v/>
      </c>
      <c r="E13" s="26"/>
      <c r="F13" s="27"/>
      <c r="G13" s="21" t="str">
        <f>_xlfn.IFNA(_xlfn.XLOOKUP($E13,Products!$C$2:$C$35,Products!$D$2:$D$35),"")</f>
        <v/>
      </c>
      <c r="H13" s="20" t="str">
        <f t="shared" si="1"/>
        <v/>
      </c>
    </row>
    <row r="14" spans="2:14" x14ac:dyDescent="0.2">
      <c r="B14" s="2" t="str">
        <f t="shared" si="0"/>
        <v/>
      </c>
      <c r="D14" t="str">
        <f>_xlfn.IFNA(_xlfn.XLOOKUP($E14,Products!$C$2:$C$35,Products!$B$2:$B$35),"")</f>
        <v/>
      </c>
      <c r="E14" s="26"/>
      <c r="F14" s="27"/>
      <c r="G14" s="21" t="str">
        <f>_xlfn.IFNA(_xlfn.XLOOKUP($E14,Products!$C$2:$C$35,Products!$D$2:$D$35),"")</f>
        <v/>
      </c>
      <c r="H14" s="20" t="str">
        <f t="shared" si="1"/>
        <v/>
      </c>
    </row>
    <row r="15" spans="2:14" x14ac:dyDescent="0.2">
      <c r="B15" s="2" t="str">
        <f t="shared" si="0"/>
        <v/>
      </c>
      <c r="D15" t="str">
        <f>_xlfn.IFNA(_xlfn.XLOOKUP($E15,Products!$C$2:$C$35,Products!$B$2:$B$35),"")</f>
        <v/>
      </c>
      <c r="E15" s="26"/>
      <c r="F15" s="27"/>
      <c r="G15" s="21" t="str">
        <f>_xlfn.IFNA(_xlfn.XLOOKUP($E15,Products!$C$2:$C$35,Products!$D$2:$D$35),"")</f>
        <v/>
      </c>
      <c r="H15" s="20" t="str">
        <f t="shared" si="1"/>
        <v/>
      </c>
    </row>
    <row r="16" spans="2:14" x14ac:dyDescent="0.2">
      <c r="B16" s="2" t="str">
        <f t="shared" si="0"/>
        <v/>
      </c>
      <c r="D16" t="str">
        <f>_xlfn.IFNA(_xlfn.XLOOKUP($E16,Products!$C$2:$C$35,Products!$B$2:$B$35),"")</f>
        <v/>
      </c>
      <c r="E16" s="26"/>
      <c r="F16" s="27"/>
      <c r="G16" s="21" t="str">
        <f>_xlfn.IFNA(_xlfn.XLOOKUP($E16,Products!$C$2:$C$35,Products!$D$2:$D$35),"")</f>
        <v/>
      </c>
      <c r="H16" s="20" t="str">
        <f t="shared" si="1"/>
        <v/>
      </c>
    </row>
    <row r="17" spans="2:8" x14ac:dyDescent="0.2">
      <c r="B17" s="2" t="str">
        <f t="shared" si="0"/>
        <v/>
      </c>
      <c r="D17" t="str">
        <f>_xlfn.IFNA(_xlfn.XLOOKUP($E17,Products!$C$2:$C$35,Products!$B$2:$B$35),"")</f>
        <v/>
      </c>
      <c r="E17" s="26"/>
      <c r="F17" s="27"/>
      <c r="G17" s="21" t="str">
        <f>_xlfn.IFNA(_xlfn.XLOOKUP($E17,Products!$C$2:$C$35,Products!$D$2:$D$35),"")</f>
        <v/>
      </c>
      <c r="H17" s="20" t="str">
        <f t="shared" si="1"/>
        <v/>
      </c>
    </row>
    <row r="18" spans="2:8" x14ac:dyDescent="0.2">
      <c r="B18" s="2" t="str">
        <f t="shared" si="0"/>
        <v/>
      </c>
      <c r="D18" t="str">
        <f>_xlfn.IFNA(_xlfn.XLOOKUP($E18,Products!$C$2:$C$35,Products!$B$2:$B$35),"")</f>
        <v/>
      </c>
      <c r="E18" s="26"/>
      <c r="F18" s="27"/>
      <c r="G18" s="21" t="str">
        <f>_xlfn.IFNA(_xlfn.XLOOKUP($E18,Products!$C$2:$C$35,Products!$D$2:$D$35),"")</f>
        <v/>
      </c>
      <c r="H18" s="20" t="str">
        <f t="shared" si="1"/>
        <v/>
      </c>
    </row>
    <row r="19" spans="2:8" x14ac:dyDescent="0.2">
      <c r="B19" s="2" t="str">
        <f t="shared" si="0"/>
        <v/>
      </c>
      <c r="D19" t="str">
        <f>_xlfn.IFNA(_xlfn.XLOOKUP($E19,Products!$C$2:$C$35,Products!$B$2:$B$35),"")</f>
        <v/>
      </c>
      <c r="E19" s="26"/>
      <c r="F19" s="27"/>
      <c r="G19" s="21" t="str">
        <f>_xlfn.IFNA(_xlfn.XLOOKUP($E19,Products!$C$2:$C$35,Products!$D$2:$D$35),"")</f>
        <v/>
      </c>
      <c r="H19" s="20" t="str">
        <f t="shared" si="1"/>
        <v/>
      </c>
    </row>
    <row r="20" spans="2:8" x14ac:dyDescent="0.2">
      <c r="B20" s="2" t="str">
        <f t="shared" si="0"/>
        <v/>
      </c>
      <c r="D20" t="str">
        <f>_xlfn.IFNA(_xlfn.XLOOKUP($E20,Products!$C$2:$C$35,Products!$B$2:$B$35),"")</f>
        <v/>
      </c>
      <c r="E20" s="26"/>
      <c r="F20" s="27"/>
      <c r="G20" s="21" t="str">
        <f>_xlfn.IFNA(_xlfn.XLOOKUP($E20,Products!$C$2:$C$35,Products!$D$2:$D$35),"")</f>
        <v/>
      </c>
      <c r="H20" s="20" t="str">
        <f t="shared" si="1"/>
        <v/>
      </c>
    </row>
    <row r="21" spans="2:8" x14ac:dyDescent="0.2">
      <c r="B21" s="2" t="str">
        <f t="shared" si="0"/>
        <v/>
      </c>
      <c r="D21" t="str">
        <f>_xlfn.IFNA(_xlfn.XLOOKUP($E21,Products!$C$2:$C$35,Products!$B$2:$B$35),"")</f>
        <v/>
      </c>
      <c r="E21" s="26"/>
      <c r="F21" s="27"/>
      <c r="G21" s="21" t="str">
        <f>_xlfn.IFNA(_xlfn.XLOOKUP($E21,Products!$C$2:$C$35,Products!$D$2:$D$35),"")</f>
        <v/>
      </c>
      <c r="H21" s="20" t="str">
        <f t="shared" si="1"/>
        <v/>
      </c>
    </row>
    <row r="22" spans="2:8" x14ac:dyDescent="0.2">
      <c r="B22" s="2" t="str">
        <f t="shared" si="0"/>
        <v/>
      </c>
      <c r="D22" t="str">
        <f>_xlfn.IFNA(_xlfn.XLOOKUP($E22,Products!$C$2:$C$35,Products!$B$2:$B$35),"")</f>
        <v/>
      </c>
      <c r="E22" s="26"/>
      <c r="F22" s="27"/>
      <c r="G22" s="21" t="str">
        <f>_xlfn.IFNA(_xlfn.XLOOKUP($E22,Products!$C$2:$C$35,Products!$D$2:$D$35),"")</f>
        <v/>
      </c>
      <c r="H22" s="20" t="str">
        <f t="shared" si="1"/>
        <v/>
      </c>
    </row>
    <row r="23" spans="2:8" x14ac:dyDescent="0.2">
      <c r="B23" s="2" t="str">
        <f t="shared" si="0"/>
        <v/>
      </c>
      <c r="D23" t="str">
        <f>_xlfn.IFNA(_xlfn.XLOOKUP($E23,Products!$C$2:$C$35,Products!$B$2:$B$35),"")</f>
        <v/>
      </c>
      <c r="E23" s="26"/>
      <c r="F23" s="27"/>
      <c r="G23" s="21" t="str">
        <f>_xlfn.IFNA(_xlfn.XLOOKUP($E23,Products!$C$2:$C$35,Products!$D$2:$D$35),"")</f>
        <v/>
      </c>
      <c r="H23" s="20" t="str">
        <f t="shared" si="1"/>
        <v/>
      </c>
    </row>
    <row r="24" spans="2:8" x14ac:dyDescent="0.2">
      <c r="B24" s="2" t="str">
        <f t="shared" si="0"/>
        <v/>
      </c>
      <c r="D24" t="str">
        <f>_xlfn.IFNA(_xlfn.XLOOKUP($E24,Products!$C$2:$C$35,Products!$B$2:$B$35),"")</f>
        <v/>
      </c>
      <c r="E24" s="26"/>
      <c r="F24" s="27"/>
      <c r="G24" s="21" t="str">
        <f>_xlfn.IFNA(_xlfn.XLOOKUP($E24,Products!$C$2:$C$35,Products!$D$2:$D$35),"")</f>
        <v/>
      </c>
      <c r="H24" s="20" t="str">
        <f t="shared" si="1"/>
        <v/>
      </c>
    </row>
    <row r="25" spans="2:8" x14ac:dyDescent="0.2">
      <c r="B25" s="2" t="str">
        <f t="shared" si="0"/>
        <v/>
      </c>
      <c r="D25" t="str">
        <f>_xlfn.IFNA(_xlfn.XLOOKUP($E25,Products!$C$2:$C$35,Products!$B$2:$B$35),"")</f>
        <v/>
      </c>
      <c r="E25" s="26"/>
      <c r="F25" s="27"/>
      <c r="G25" s="21" t="str">
        <f>_xlfn.IFNA(_xlfn.XLOOKUP($E25,Products!$C$2:$C$35,Products!$D$2:$D$35),"")</f>
        <v/>
      </c>
      <c r="H25" s="20" t="str">
        <f t="shared" si="1"/>
        <v/>
      </c>
    </row>
    <row r="26" spans="2:8" ht="15" x14ac:dyDescent="0.25">
      <c r="B26" s="2"/>
      <c r="C26" s="12" t="s">
        <v>15</v>
      </c>
      <c r="D26" s="48" t="str">
        <f>IF(F11="","",TEXT(SUM(H11:H25),"₦#,##0"))</f>
        <v/>
      </c>
      <c r="E26" s="48"/>
      <c r="F26" s="48"/>
      <c r="G26" s="48"/>
      <c r="H26" s="49"/>
    </row>
    <row r="27" spans="2:8" x14ac:dyDescent="0.2">
      <c r="B27" s="2"/>
      <c r="D27" s="48"/>
      <c r="E27" s="48"/>
      <c r="F27" s="48"/>
      <c r="G27" s="48"/>
      <c r="H27" s="49"/>
    </row>
    <row r="28" spans="2:8" x14ac:dyDescent="0.2">
      <c r="B28" s="2"/>
      <c r="H28" s="3"/>
    </row>
    <row r="29" spans="2:8" ht="15" x14ac:dyDescent="0.25">
      <c r="B29" s="37" t="s">
        <v>17</v>
      </c>
      <c r="C29" s="34"/>
      <c r="D29" s="34" t="s">
        <v>6</v>
      </c>
      <c r="E29" s="34"/>
      <c r="F29" s="34" t="s">
        <v>18</v>
      </c>
      <c r="G29" s="34"/>
      <c r="H29" s="38"/>
    </row>
    <row r="30" spans="2:8" x14ac:dyDescent="0.2">
      <c r="B30" s="37" t="s">
        <v>19</v>
      </c>
      <c r="C30" s="34"/>
      <c r="D30" s="36"/>
      <c r="E30" s="36"/>
      <c r="F30" s="34" t="s">
        <v>20</v>
      </c>
      <c r="G30" s="34"/>
      <c r="H30" s="38"/>
    </row>
    <row r="31" spans="2:8" x14ac:dyDescent="0.2">
      <c r="B31" s="37"/>
      <c r="C31" s="34"/>
      <c r="D31" s="35"/>
      <c r="E31" s="35"/>
      <c r="F31" s="34"/>
      <c r="G31" s="34"/>
      <c r="H31" s="38"/>
    </row>
    <row r="32" spans="2:8" x14ac:dyDescent="0.2">
      <c r="B32" s="37"/>
      <c r="C32" s="34"/>
      <c r="F32" s="34"/>
      <c r="G32" s="34"/>
      <c r="H32" s="38"/>
    </row>
    <row r="33" spans="2:8" x14ac:dyDescent="0.2">
      <c r="B33" s="2"/>
      <c r="H33" s="3"/>
    </row>
    <row r="34" spans="2:8" x14ac:dyDescent="0.2">
      <c r="B34" s="2"/>
      <c r="H34" s="3"/>
    </row>
    <row r="35" spans="2:8" ht="15" thickBot="1" x14ac:dyDescent="0.25">
      <c r="B35" s="4"/>
      <c r="C35" s="5"/>
      <c r="D35" s="5"/>
      <c r="E35" s="5"/>
      <c r="F35" s="5"/>
      <c r="G35" s="5"/>
      <c r="H35" s="6"/>
    </row>
  </sheetData>
  <sheetProtection algorithmName="SHA-512" hashValue="naEe/Reo6dHe7quXPg86UduIdrTKeJwFH8Lrrxj+kfy0CFtwE0zs406dpaJ5M1sVqDJ4cG5ubDWQqp1OitKXWw==" saltValue="t95YVFRcXKwmnyrE8HWjFA==" spinCount="100000" sheet="1" objects="1" scenarios="1" selectLockedCells="1"/>
  <mergeCells count="16">
    <mergeCell ref="B5:D5"/>
    <mergeCell ref="E5:F5"/>
    <mergeCell ref="B3:H3"/>
    <mergeCell ref="B4:H4"/>
    <mergeCell ref="D26:H27"/>
    <mergeCell ref="C6:E6"/>
    <mergeCell ref="C7:G7"/>
    <mergeCell ref="M6:N6"/>
    <mergeCell ref="D29:E29"/>
    <mergeCell ref="D31:E31"/>
    <mergeCell ref="D30:E30"/>
    <mergeCell ref="B30:C32"/>
    <mergeCell ref="F30:H32"/>
    <mergeCell ref="C8:G8"/>
    <mergeCell ref="F29:H29"/>
    <mergeCell ref="B29:C29"/>
  </mergeCells>
  <pageMargins left="0.7" right="0.7" top="0.75" bottom="0.75" header="0.3" footer="0.3"/>
  <ignoredErrors>
    <ignoredError sqref="C8" unlockedFormula="1"/>
  </ignoredErrors>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3DF73F5-F30B-498C-93AA-E70CEA207CD5}">
          <x14:formula1>
            <xm:f>Products!$C$2:$C$35</xm:f>
          </x14:formula1>
          <xm:sqref>E11:E25</xm:sqref>
        </x14:dataValidation>
        <x14:dataValidation type="list" allowBlank="1" showInputMessage="1" showErrorMessage="1" xr:uid="{16B1FE54-3D52-47DC-BC88-2E608505ABAA}">
          <x14:formula1>
            <xm:f>Settings!$A$2:$A$5</xm:f>
          </x14:formula1>
          <xm:sqref>D31:E31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238FD-9D0B-4663-A766-DFF2346D36B6}">
  <sheetPr codeName="Sheet2">
    <tabColor theme="0" tint="-0.499984740745262"/>
  </sheetPr>
  <dimension ref="A1:K109"/>
  <sheetViews>
    <sheetView showGridLines="0" showRowColHeaders="0" workbookViewId="0">
      <selection activeCell="D107" sqref="D107"/>
    </sheetView>
  </sheetViews>
  <sheetFormatPr defaultRowHeight="14.25" x14ac:dyDescent="0.2"/>
  <cols>
    <col min="1" max="1" width="9.875" style="1" bestFit="1" customWidth="1"/>
    <col min="2" max="2" width="14.625" bestFit="1" customWidth="1"/>
    <col min="3" max="3" width="16.875" customWidth="1"/>
    <col min="4" max="4" width="11.875" style="24" bestFit="1" customWidth="1"/>
    <col min="5" max="5" width="12.125" customWidth="1"/>
    <col min="6" max="6" width="18.25" customWidth="1"/>
    <col min="7" max="7" width="33.375" bestFit="1" customWidth="1"/>
    <col min="8" max="8" width="10.125" style="23" customWidth="1"/>
    <col min="9" max="10" width="14.125" bestFit="1" customWidth="1"/>
    <col min="11" max="11" width="17.5" customWidth="1"/>
  </cols>
  <sheetData>
    <row r="1" spans="1:11" x14ac:dyDescent="0.2">
      <c r="A1"/>
      <c r="D1"/>
      <c r="H1"/>
    </row>
    <row r="2" spans="1:11" ht="15" x14ac:dyDescent="0.25">
      <c r="A2" s="10" t="s">
        <v>0</v>
      </c>
      <c r="B2" s="10" t="s">
        <v>21</v>
      </c>
      <c r="C2" s="10" t="s">
        <v>8</v>
      </c>
      <c r="D2" s="10" t="s">
        <v>22</v>
      </c>
      <c r="E2" s="10" t="s">
        <v>1</v>
      </c>
      <c r="F2" s="10" t="s">
        <v>99</v>
      </c>
      <c r="G2" s="10" t="s">
        <v>13</v>
      </c>
      <c r="H2" s="10" t="s">
        <v>14</v>
      </c>
      <c r="I2" s="10" t="s">
        <v>4</v>
      </c>
      <c r="J2" s="10" t="s">
        <v>16</v>
      </c>
      <c r="K2" s="10" t="s">
        <v>6</v>
      </c>
    </row>
    <row r="3" spans="1:11" x14ac:dyDescent="0.2">
      <c r="A3" s="1">
        <v>45854</v>
      </c>
      <c r="B3" s="24" t="s">
        <v>104</v>
      </c>
      <c r="C3" s="24" t="s">
        <v>105</v>
      </c>
      <c r="D3" s="24" t="s">
        <v>106</v>
      </c>
      <c r="E3" s="24" t="s">
        <v>38</v>
      </c>
      <c r="F3" s="24" t="s">
        <v>39</v>
      </c>
      <c r="G3" s="24" t="s">
        <v>40</v>
      </c>
      <c r="H3">
        <v>1</v>
      </c>
      <c r="I3" s="31">
        <v>1900000</v>
      </c>
      <c r="J3" s="31">
        <f>Table1[[#This Row],[Quantity]]*Table1[[#This Row],[Unit Price]]</f>
        <v>1900000</v>
      </c>
      <c r="K3" s="24" t="s">
        <v>107</v>
      </c>
    </row>
    <row r="4" spans="1:11" x14ac:dyDescent="0.2">
      <c r="A4" s="1">
        <v>45830</v>
      </c>
      <c r="B4" s="24" t="s">
        <v>104</v>
      </c>
      <c r="C4" s="24" t="s">
        <v>105</v>
      </c>
      <c r="D4" s="24" t="s">
        <v>106</v>
      </c>
      <c r="E4" s="24" t="s">
        <v>91</v>
      </c>
      <c r="F4" s="24" t="s">
        <v>87</v>
      </c>
      <c r="G4" s="24" t="s">
        <v>92</v>
      </c>
      <c r="H4">
        <v>2</v>
      </c>
      <c r="I4" s="31">
        <v>380000</v>
      </c>
      <c r="J4" s="31">
        <f>Table1[[#This Row],[Quantity]]*Table1[[#This Row],[Unit Price]]</f>
        <v>760000</v>
      </c>
      <c r="K4" s="24" t="s">
        <v>107</v>
      </c>
    </row>
    <row r="5" spans="1:11" x14ac:dyDescent="0.2">
      <c r="A5" s="1">
        <v>46056</v>
      </c>
      <c r="B5" s="24" t="s">
        <v>108</v>
      </c>
      <c r="C5" s="24" t="s">
        <v>109</v>
      </c>
      <c r="D5" s="24" t="s">
        <v>110</v>
      </c>
      <c r="E5" s="24" t="s">
        <v>28</v>
      </c>
      <c r="F5" s="24" t="s">
        <v>26</v>
      </c>
      <c r="G5" s="24" t="s">
        <v>111</v>
      </c>
      <c r="H5">
        <v>1</v>
      </c>
      <c r="I5" s="31">
        <v>2850000</v>
      </c>
      <c r="J5" s="31">
        <f>Table1[[#This Row],[Quantity]]*Table1[[#This Row],[Unit Price]]</f>
        <v>2850000</v>
      </c>
      <c r="K5" s="24" t="s">
        <v>112</v>
      </c>
    </row>
    <row r="6" spans="1:11" x14ac:dyDescent="0.2">
      <c r="A6" s="1">
        <v>46034</v>
      </c>
      <c r="B6" s="24" t="s">
        <v>113</v>
      </c>
      <c r="C6" s="24" t="s">
        <v>114</v>
      </c>
      <c r="D6" s="24" t="s">
        <v>115</v>
      </c>
      <c r="E6" s="24" t="s">
        <v>82</v>
      </c>
      <c r="F6" s="24" t="s">
        <v>80</v>
      </c>
      <c r="G6" s="24" t="s">
        <v>83</v>
      </c>
      <c r="H6">
        <v>1</v>
      </c>
      <c r="I6" s="31">
        <v>1850000</v>
      </c>
      <c r="J6" s="31">
        <f>Table1[[#This Row],[Quantity]]*Table1[[#This Row],[Unit Price]]</f>
        <v>1850000</v>
      </c>
      <c r="K6" s="24" t="s">
        <v>100</v>
      </c>
    </row>
    <row r="7" spans="1:11" x14ac:dyDescent="0.2">
      <c r="A7" s="1">
        <v>46107</v>
      </c>
      <c r="B7" s="24" t="s">
        <v>116</v>
      </c>
      <c r="C7" s="24" t="s">
        <v>117</v>
      </c>
      <c r="D7" s="24" t="s">
        <v>118</v>
      </c>
      <c r="E7" s="24" t="s">
        <v>53</v>
      </c>
      <c r="F7" s="24" t="s">
        <v>39</v>
      </c>
      <c r="G7" s="24" t="s">
        <v>54</v>
      </c>
      <c r="H7">
        <v>1</v>
      </c>
      <c r="I7" s="31">
        <v>880000</v>
      </c>
      <c r="J7" s="31">
        <f>Table1[[#This Row],[Quantity]]*Table1[[#This Row],[Unit Price]]</f>
        <v>880000</v>
      </c>
      <c r="K7" s="24" t="s">
        <v>107</v>
      </c>
    </row>
    <row r="8" spans="1:11" x14ac:dyDescent="0.2">
      <c r="A8" s="1">
        <v>46111</v>
      </c>
      <c r="B8" s="24" t="s">
        <v>116</v>
      </c>
      <c r="C8" s="24" t="s">
        <v>117</v>
      </c>
      <c r="D8" s="24" t="s">
        <v>118</v>
      </c>
      <c r="E8" s="24" t="s">
        <v>95</v>
      </c>
      <c r="F8" s="24" t="s">
        <v>87</v>
      </c>
      <c r="G8" s="24" t="s">
        <v>96</v>
      </c>
      <c r="H8">
        <v>3</v>
      </c>
      <c r="I8" s="31">
        <v>45000</v>
      </c>
      <c r="J8" s="31">
        <f>Table1[[#This Row],[Quantity]]*Table1[[#This Row],[Unit Price]]</f>
        <v>135000</v>
      </c>
      <c r="K8" s="24" t="s">
        <v>107</v>
      </c>
    </row>
    <row r="9" spans="1:11" x14ac:dyDescent="0.2">
      <c r="A9" s="1">
        <v>45958</v>
      </c>
      <c r="B9" s="24" t="s">
        <v>119</v>
      </c>
      <c r="C9" s="24" t="s">
        <v>120</v>
      </c>
      <c r="D9" s="24" t="s">
        <v>121</v>
      </c>
      <c r="E9" s="24" t="s">
        <v>68</v>
      </c>
      <c r="F9" s="24" t="s">
        <v>60</v>
      </c>
      <c r="G9" s="24" t="s">
        <v>69</v>
      </c>
      <c r="H9">
        <v>1</v>
      </c>
      <c r="I9" s="31">
        <v>1800000</v>
      </c>
      <c r="J9" s="31">
        <f>Table1[[#This Row],[Quantity]]*Table1[[#This Row],[Unit Price]]</f>
        <v>1800000</v>
      </c>
      <c r="K9" s="24" t="s">
        <v>112</v>
      </c>
    </row>
    <row r="10" spans="1:11" x14ac:dyDescent="0.2">
      <c r="A10" s="1">
        <v>45782</v>
      </c>
      <c r="B10" s="24" t="s">
        <v>122</v>
      </c>
      <c r="C10" s="24" t="s">
        <v>123</v>
      </c>
      <c r="D10" s="24" t="s">
        <v>124</v>
      </c>
      <c r="E10" s="24" t="s">
        <v>70</v>
      </c>
      <c r="F10" s="24" t="s">
        <v>71</v>
      </c>
      <c r="G10" s="24" t="s">
        <v>125</v>
      </c>
      <c r="H10">
        <v>1</v>
      </c>
      <c r="I10" s="31">
        <v>1550000</v>
      </c>
      <c r="J10" s="31">
        <f>Table1[[#This Row],[Quantity]]*Table1[[#This Row],[Unit Price]]</f>
        <v>1550000</v>
      </c>
      <c r="K10" s="24" t="s">
        <v>107</v>
      </c>
    </row>
    <row r="11" spans="1:11" x14ac:dyDescent="0.2">
      <c r="A11" s="1">
        <v>46006</v>
      </c>
      <c r="B11" s="24" t="s">
        <v>122</v>
      </c>
      <c r="C11" s="24" t="s">
        <v>123</v>
      </c>
      <c r="D11" s="24" t="s">
        <v>124</v>
      </c>
      <c r="E11" s="24" t="s">
        <v>86</v>
      </c>
      <c r="F11" s="24" t="s">
        <v>87</v>
      </c>
      <c r="G11" s="24" t="s">
        <v>88</v>
      </c>
      <c r="H11">
        <v>1</v>
      </c>
      <c r="I11" s="31">
        <v>1100000</v>
      </c>
      <c r="J11" s="31">
        <f>Table1[[#This Row],[Quantity]]*Table1[[#This Row],[Unit Price]]</f>
        <v>1100000</v>
      </c>
      <c r="K11" s="24" t="s">
        <v>107</v>
      </c>
    </row>
    <row r="12" spans="1:11" x14ac:dyDescent="0.2">
      <c r="A12" s="1">
        <v>45986</v>
      </c>
      <c r="B12" s="24" t="s">
        <v>126</v>
      </c>
      <c r="C12" s="24" t="s">
        <v>127</v>
      </c>
      <c r="D12" s="24" t="s">
        <v>128</v>
      </c>
      <c r="E12" s="24" t="s">
        <v>47</v>
      </c>
      <c r="F12" s="24" t="s">
        <v>39</v>
      </c>
      <c r="G12" s="24" t="s">
        <v>48</v>
      </c>
      <c r="H12">
        <v>1</v>
      </c>
      <c r="I12" s="31">
        <v>1250000</v>
      </c>
      <c r="J12" s="31">
        <f>Table1[[#This Row],[Quantity]]*Table1[[#This Row],[Unit Price]]</f>
        <v>1250000</v>
      </c>
      <c r="K12" s="24" t="s">
        <v>100</v>
      </c>
    </row>
    <row r="13" spans="1:11" x14ac:dyDescent="0.2">
      <c r="A13" s="1">
        <v>46103</v>
      </c>
      <c r="B13" s="24" t="s">
        <v>129</v>
      </c>
      <c r="C13" s="24" t="s">
        <v>130</v>
      </c>
      <c r="D13" s="24" t="s">
        <v>131</v>
      </c>
      <c r="E13" s="24" t="s">
        <v>36</v>
      </c>
      <c r="F13" s="24" t="s">
        <v>26</v>
      </c>
      <c r="G13" s="24" t="s">
        <v>132</v>
      </c>
      <c r="H13">
        <v>5</v>
      </c>
      <c r="I13" s="31">
        <v>950000</v>
      </c>
      <c r="J13" s="31">
        <f>Table1[[#This Row],[Quantity]]*Table1[[#This Row],[Unit Price]]</f>
        <v>4750000</v>
      </c>
      <c r="K13" s="24" t="s">
        <v>107</v>
      </c>
    </row>
    <row r="14" spans="1:11" x14ac:dyDescent="0.2">
      <c r="A14" s="1">
        <v>45751</v>
      </c>
      <c r="B14" s="24" t="s">
        <v>133</v>
      </c>
      <c r="C14" s="24" t="s">
        <v>134</v>
      </c>
      <c r="D14" s="24" t="s">
        <v>135</v>
      </c>
      <c r="E14" s="24" t="s">
        <v>43</v>
      </c>
      <c r="F14" s="24" t="s">
        <v>39</v>
      </c>
      <c r="G14" s="24" t="s">
        <v>44</v>
      </c>
      <c r="H14">
        <v>1</v>
      </c>
      <c r="I14" s="31">
        <v>1150000</v>
      </c>
      <c r="J14" s="31">
        <f>Table1[[#This Row],[Quantity]]*Table1[[#This Row],[Unit Price]]</f>
        <v>1150000</v>
      </c>
      <c r="K14" s="24" t="s">
        <v>112</v>
      </c>
    </row>
    <row r="15" spans="1:11" x14ac:dyDescent="0.2">
      <c r="A15" s="1">
        <v>45892</v>
      </c>
      <c r="B15" s="24" t="s">
        <v>136</v>
      </c>
      <c r="C15" s="24" t="s">
        <v>137</v>
      </c>
      <c r="D15" s="24" t="s">
        <v>138</v>
      </c>
      <c r="E15" s="24" t="s">
        <v>97</v>
      </c>
      <c r="F15" s="24" t="s">
        <v>87</v>
      </c>
      <c r="G15" s="24" t="s">
        <v>98</v>
      </c>
      <c r="H15">
        <v>2</v>
      </c>
      <c r="I15" s="31">
        <v>850000</v>
      </c>
      <c r="J15" s="31">
        <f>Table1[[#This Row],[Quantity]]*Table1[[#This Row],[Unit Price]]</f>
        <v>1700000</v>
      </c>
      <c r="K15" s="24" t="s">
        <v>107</v>
      </c>
    </row>
    <row r="16" spans="1:11" x14ac:dyDescent="0.2">
      <c r="A16" s="1">
        <v>45885</v>
      </c>
      <c r="B16" s="24" t="s">
        <v>139</v>
      </c>
      <c r="C16" s="24" t="s">
        <v>140</v>
      </c>
      <c r="D16" s="24" t="s">
        <v>141</v>
      </c>
      <c r="E16" s="24" t="s">
        <v>84</v>
      </c>
      <c r="F16" s="24" t="s">
        <v>80</v>
      </c>
      <c r="G16" s="24" t="s">
        <v>85</v>
      </c>
      <c r="H16">
        <v>1</v>
      </c>
      <c r="I16" s="31">
        <v>650000</v>
      </c>
      <c r="J16" s="31">
        <f>Table1[[#This Row],[Quantity]]*Table1[[#This Row],[Unit Price]]</f>
        <v>650000</v>
      </c>
      <c r="K16" s="24" t="s">
        <v>100</v>
      </c>
    </row>
    <row r="17" spans="1:11" x14ac:dyDescent="0.2">
      <c r="A17" s="1">
        <v>45941</v>
      </c>
      <c r="B17" s="24" t="s">
        <v>142</v>
      </c>
      <c r="C17" s="24" t="s">
        <v>143</v>
      </c>
      <c r="D17" s="24" t="s">
        <v>144</v>
      </c>
      <c r="E17" s="24" t="s">
        <v>62</v>
      </c>
      <c r="F17" s="24" t="s">
        <v>60</v>
      </c>
      <c r="G17" s="24" t="s">
        <v>145</v>
      </c>
      <c r="H17">
        <v>1</v>
      </c>
      <c r="I17" s="31">
        <v>1100000</v>
      </c>
      <c r="J17" s="31">
        <f>Table1[[#This Row],[Quantity]]*Table1[[#This Row],[Unit Price]]</f>
        <v>1100000</v>
      </c>
      <c r="K17" s="24" t="s">
        <v>112</v>
      </c>
    </row>
    <row r="18" spans="1:11" x14ac:dyDescent="0.2">
      <c r="A18" s="1">
        <v>45795</v>
      </c>
      <c r="B18" s="24" t="s">
        <v>142</v>
      </c>
      <c r="C18" s="24" t="s">
        <v>143</v>
      </c>
      <c r="D18" s="24" t="s">
        <v>144</v>
      </c>
      <c r="E18" s="24" t="s">
        <v>93</v>
      </c>
      <c r="F18" s="24" t="s">
        <v>87</v>
      </c>
      <c r="G18" s="24" t="s">
        <v>146</v>
      </c>
      <c r="H18">
        <v>1</v>
      </c>
      <c r="I18" s="31">
        <v>550000</v>
      </c>
      <c r="J18" s="31">
        <f>Table1[[#This Row],[Quantity]]*Table1[[#This Row],[Unit Price]]</f>
        <v>550000</v>
      </c>
      <c r="K18" s="24" t="s">
        <v>112</v>
      </c>
    </row>
    <row r="19" spans="1:11" x14ac:dyDescent="0.2">
      <c r="A19" s="1">
        <v>45829</v>
      </c>
      <c r="B19" s="24" t="s">
        <v>147</v>
      </c>
      <c r="C19" s="24" t="s">
        <v>148</v>
      </c>
      <c r="D19" s="24" t="s">
        <v>149</v>
      </c>
      <c r="E19" s="24" t="s">
        <v>55</v>
      </c>
      <c r="F19" s="24" t="s">
        <v>39</v>
      </c>
      <c r="G19" s="24" t="s">
        <v>56</v>
      </c>
      <c r="H19">
        <v>1</v>
      </c>
      <c r="I19" s="31">
        <v>650000</v>
      </c>
      <c r="J19" s="31">
        <f>Table1[[#This Row],[Quantity]]*Table1[[#This Row],[Unit Price]]</f>
        <v>650000</v>
      </c>
      <c r="K19" s="24" t="s">
        <v>107</v>
      </c>
    </row>
    <row r="20" spans="1:11" x14ac:dyDescent="0.2">
      <c r="A20" s="1">
        <v>46031</v>
      </c>
      <c r="B20" s="24" t="s">
        <v>150</v>
      </c>
      <c r="C20" s="24" t="s">
        <v>151</v>
      </c>
      <c r="D20" s="24" t="s">
        <v>152</v>
      </c>
      <c r="E20" s="24" t="s">
        <v>25</v>
      </c>
      <c r="F20" s="24" t="s">
        <v>26</v>
      </c>
      <c r="G20" s="24" t="s">
        <v>153</v>
      </c>
      <c r="H20">
        <v>1</v>
      </c>
      <c r="I20" s="31">
        <v>4200000</v>
      </c>
      <c r="J20" s="31">
        <f>Table1[[#This Row],[Quantity]]*Table1[[#This Row],[Unit Price]]</f>
        <v>4200000</v>
      </c>
      <c r="K20" s="24" t="s">
        <v>107</v>
      </c>
    </row>
    <row r="21" spans="1:11" x14ac:dyDescent="0.2">
      <c r="A21" s="1">
        <v>46058</v>
      </c>
      <c r="B21" s="24" t="s">
        <v>150</v>
      </c>
      <c r="C21" s="24" t="s">
        <v>151</v>
      </c>
      <c r="D21" s="24" t="s">
        <v>152</v>
      </c>
      <c r="E21" s="24" t="s">
        <v>77</v>
      </c>
      <c r="F21" s="24" t="s">
        <v>71</v>
      </c>
      <c r="G21" s="24" t="s">
        <v>78</v>
      </c>
      <c r="H21">
        <v>1</v>
      </c>
      <c r="I21" s="31">
        <v>1350000</v>
      </c>
      <c r="J21" s="31">
        <f>Table1[[#This Row],[Quantity]]*Table1[[#This Row],[Unit Price]]</f>
        <v>1350000</v>
      </c>
      <c r="K21" s="24" t="s">
        <v>107</v>
      </c>
    </row>
    <row r="22" spans="1:11" x14ac:dyDescent="0.2">
      <c r="A22" s="1">
        <v>45986</v>
      </c>
      <c r="B22" s="24" t="s">
        <v>154</v>
      </c>
      <c r="C22" s="24" t="s">
        <v>155</v>
      </c>
      <c r="D22" s="24" t="s">
        <v>156</v>
      </c>
      <c r="E22" s="24" t="s">
        <v>57</v>
      </c>
      <c r="F22" s="24" t="s">
        <v>39</v>
      </c>
      <c r="G22" s="24" t="s">
        <v>58</v>
      </c>
      <c r="H22">
        <v>2</v>
      </c>
      <c r="I22" s="31">
        <v>450000</v>
      </c>
      <c r="J22" s="31">
        <f>Table1[[#This Row],[Quantity]]*Table1[[#This Row],[Unit Price]]</f>
        <v>900000</v>
      </c>
      <c r="K22" s="24" t="s">
        <v>100</v>
      </c>
    </row>
    <row r="23" spans="1:11" x14ac:dyDescent="0.2">
      <c r="A23" s="1">
        <v>45816</v>
      </c>
      <c r="B23" s="24" t="s">
        <v>157</v>
      </c>
      <c r="C23" s="24" t="s">
        <v>158</v>
      </c>
      <c r="D23" s="24" t="s">
        <v>159</v>
      </c>
      <c r="E23" s="24" t="s">
        <v>59</v>
      </c>
      <c r="F23" s="24" t="s">
        <v>60</v>
      </c>
      <c r="G23" s="24" t="s">
        <v>160</v>
      </c>
      <c r="H23">
        <v>1</v>
      </c>
      <c r="I23" s="31">
        <v>950000</v>
      </c>
      <c r="J23" s="31">
        <f>Table1[[#This Row],[Quantity]]*Table1[[#This Row],[Unit Price]]</f>
        <v>950000</v>
      </c>
      <c r="K23" s="24" t="s">
        <v>112</v>
      </c>
    </row>
    <row r="24" spans="1:11" x14ac:dyDescent="0.2">
      <c r="A24" s="1">
        <v>45882</v>
      </c>
      <c r="B24" s="24" t="s">
        <v>161</v>
      </c>
      <c r="C24" s="24" t="s">
        <v>162</v>
      </c>
      <c r="D24" s="24" t="s">
        <v>163</v>
      </c>
      <c r="E24" s="24" t="s">
        <v>32</v>
      </c>
      <c r="F24" s="24" t="s">
        <v>26</v>
      </c>
      <c r="G24" s="24" t="s">
        <v>164</v>
      </c>
      <c r="H24">
        <v>1</v>
      </c>
      <c r="I24" s="31">
        <v>1950000</v>
      </c>
      <c r="J24" s="31">
        <f>Table1[[#This Row],[Quantity]]*Table1[[#This Row],[Unit Price]]</f>
        <v>1950000</v>
      </c>
      <c r="K24" s="24" t="s">
        <v>107</v>
      </c>
    </row>
    <row r="25" spans="1:11" x14ac:dyDescent="0.2">
      <c r="A25" s="1">
        <v>46104</v>
      </c>
      <c r="B25" s="24" t="s">
        <v>165</v>
      </c>
      <c r="C25" s="24" t="s">
        <v>166</v>
      </c>
      <c r="D25" s="24" t="s">
        <v>167</v>
      </c>
      <c r="E25" s="24" t="s">
        <v>45</v>
      </c>
      <c r="F25" s="24" t="s">
        <v>39</v>
      </c>
      <c r="G25" s="24" t="s">
        <v>46</v>
      </c>
      <c r="H25">
        <v>1</v>
      </c>
      <c r="I25" s="31">
        <v>1450000</v>
      </c>
      <c r="J25" s="31">
        <f>Table1[[#This Row],[Quantity]]*Table1[[#This Row],[Unit Price]]</f>
        <v>1450000</v>
      </c>
      <c r="K25" s="24" t="s">
        <v>112</v>
      </c>
    </row>
    <row r="26" spans="1:11" x14ac:dyDescent="0.2">
      <c r="A26" s="1">
        <v>45988</v>
      </c>
      <c r="B26" s="24" t="s">
        <v>168</v>
      </c>
      <c r="C26" s="24" t="s">
        <v>169</v>
      </c>
      <c r="D26" s="24" t="s">
        <v>170</v>
      </c>
      <c r="E26" s="24" t="s">
        <v>79</v>
      </c>
      <c r="F26" s="24" t="s">
        <v>80</v>
      </c>
      <c r="G26" s="24" t="s">
        <v>171</v>
      </c>
      <c r="H26">
        <v>1</v>
      </c>
      <c r="I26" s="31">
        <v>1600000</v>
      </c>
      <c r="J26" s="31">
        <f>Table1[[#This Row],[Quantity]]*Table1[[#This Row],[Unit Price]]</f>
        <v>1600000</v>
      </c>
      <c r="K26" s="24" t="s">
        <v>107</v>
      </c>
    </row>
    <row r="27" spans="1:11" x14ac:dyDescent="0.2">
      <c r="A27" s="1">
        <v>46000</v>
      </c>
      <c r="B27" s="24" t="s">
        <v>168</v>
      </c>
      <c r="C27" s="24" t="s">
        <v>169</v>
      </c>
      <c r="D27" s="24" t="s">
        <v>170</v>
      </c>
      <c r="E27" s="24" t="s">
        <v>89</v>
      </c>
      <c r="F27" s="24" t="s">
        <v>87</v>
      </c>
      <c r="G27" s="24" t="s">
        <v>90</v>
      </c>
      <c r="H27">
        <v>2</v>
      </c>
      <c r="I27" s="31">
        <v>580000</v>
      </c>
      <c r="J27" s="31">
        <f>Table1[[#This Row],[Quantity]]*Table1[[#This Row],[Unit Price]]</f>
        <v>1160000</v>
      </c>
      <c r="K27" s="24" t="s">
        <v>107</v>
      </c>
    </row>
    <row r="28" spans="1:11" x14ac:dyDescent="0.2">
      <c r="A28" s="1">
        <v>45776</v>
      </c>
      <c r="B28" s="24" t="s">
        <v>172</v>
      </c>
      <c r="C28" s="24" t="s">
        <v>173</v>
      </c>
      <c r="D28" s="24" t="s">
        <v>174</v>
      </c>
      <c r="E28" s="24" t="s">
        <v>41</v>
      </c>
      <c r="F28" s="24" t="s">
        <v>39</v>
      </c>
      <c r="G28" s="24" t="s">
        <v>42</v>
      </c>
      <c r="H28">
        <v>1</v>
      </c>
      <c r="I28" s="31">
        <v>1650000</v>
      </c>
      <c r="J28" s="31">
        <f>Table1[[#This Row],[Quantity]]*Table1[[#This Row],[Unit Price]]</f>
        <v>1650000</v>
      </c>
      <c r="K28" s="24" t="s">
        <v>112</v>
      </c>
    </row>
    <row r="29" spans="1:11" x14ac:dyDescent="0.2">
      <c r="A29" s="1">
        <v>46040</v>
      </c>
      <c r="B29" s="24" t="s">
        <v>172</v>
      </c>
      <c r="C29" s="24" t="s">
        <v>173</v>
      </c>
      <c r="D29" s="24" t="s">
        <v>174</v>
      </c>
      <c r="E29" s="24" t="s">
        <v>91</v>
      </c>
      <c r="F29" s="24" t="s">
        <v>87</v>
      </c>
      <c r="G29" s="24" t="s">
        <v>92</v>
      </c>
      <c r="H29">
        <v>1</v>
      </c>
      <c r="I29" s="31">
        <v>380000</v>
      </c>
      <c r="J29" s="31">
        <f>Table1[[#This Row],[Quantity]]*Table1[[#This Row],[Unit Price]]</f>
        <v>380000</v>
      </c>
      <c r="K29" s="24" t="s">
        <v>112</v>
      </c>
    </row>
    <row r="30" spans="1:11" x14ac:dyDescent="0.2">
      <c r="A30" s="1">
        <v>45891</v>
      </c>
      <c r="B30" s="24" t="s">
        <v>175</v>
      </c>
      <c r="C30" s="24" t="s">
        <v>176</v>
      </c>
      <c r="D30" s="24" t="s">
        <v>177</v>
      </c>
      <c r="E30" s="24" t="s">
        <v>30</v>
      </c>
      <c r="F30" s="24" t="s">
        <v>26</v>
      </c>
      <c r="G30" s="24" t="s">
        <v>178</v>
      </c>
      <c r="H30">
        <v>1</v>
      </c>
      <c r="I30" s="31">
        <v>1450000</v>
      </c>
      <c r="J30" s="31">
        <f>Table1[[#This Row],[Quantity]]*Table1[[#This Row],[Unit Price]]</f>
        <v>1450000</v>
      </c>
      <c r="K30" s="24" t="s">
        <v>107</v>
      </c>
    </row>
    <row r="31" spans="1:11" x14ac:dyDescent="0.2">
      <c r="A31" s="1">
        <v>46058</v>
      </c>
      <c r="B31" s="24" t="s">
        <v>175</v>
      </c>
      <c r="C31" s="24" t="s">
        <v>176</v>
      </c>
      <c r="D31" s="24" t="s">
        <v>177</v>
      </c>
      <c r="E31" s="24" t="s">
        <v>86</v>
      </c>
      <c r="F31" s="24" t="s">
        <v>87</v>
      </c>
      <c r="G31" s="24" t="s">
        <v>88</v>
      </c>
      <c r="H31">
        <v>1</v>
      </c>
      <c r="I31" s="31">
        <v>1100000</v>
      </c>
      <c r="J31" s="31">
        <f>Table1[[#This Row],[Quantity]]*Table1[[#This Row],[Unit Price]]</f>
        <v>1100000</v>
      </c>
      <c r="K31" s="24" t="s">
        <v>107</v>
      </c>
    </row>
    <row r="32" spans="1:11" x14ac:dyDescent="0.2">
      <c r="A32" s="1">
        <v>45998</v>
      </c>
      <c r="B32" s="24" t="s">
        <v>179</v>
      </c>
      <c r="C32" s="24" t="s">
        <v>180</v>
      </c>
      <c r="D32" s="24" t="s">
        <v>181</v>
      </c>
      <c r="E32" s="24" t="s">
        <v>47</v>
      </c>
      <c r="F32" s="24" t="s">
        <v>39</v>
      </c>
      <c r="G32" s="24" t="s">
        <v>48</v>
      </c>
      <c r="H32">
        <v>1</v>
      </c>
      <c r="I32" s="31">
        <v>1250000</v>
      </c>
      <c r="J32" s="31">
        <f>Table1[[#This Row],[Quantity]]*Table1[[#This Row],[Unit Price]]</f>
        <v>1250000</v>
      </c>
      <c r="K32" s="24" t="s">
        <v>100</v>
      </c>
    </row>
    <row r="33" spans="1:11" x14ac:dyDescent="0.2">
      <c r="A33" s="1">
        <v>46031</v>
      </c>
      <c r="B33" s="24" t="s">
        <v>182</v>
      </c>
      <c r="C33" s="24" t="s">
        <v>183</v>
      </c>
      <c r="D33" s="24" t="s">
        <v>184</v>
      </c>
      <c r="E33" s="24" t="s">
        <v>66</v>
      </c>
      <c r="F33" s="24" t="s">
        <v>60</v>
      </c>
      <c r="G33" s="24" t="s">
        <v>67</v>
      </c>
      <c r="H33">
        <v>1</v>
      </c>
      <c r="I33" s="31">
        <v>2100000</v>
      </c>
      <c r="J33" s="31">
        <f>Table1[[#This Row],[Quantity]]*Table1[[#This Row],[Unit Price]]</f>
        <v>2100000</v>
      </c>
      <c r="K33" s="24" t="s">
        <v>107</v>
      </c>
    </row>
    <row r="34" spans="1:11" x14ac:dyDescent="0.2">
      <c r="A34" s="1">
        <v>45841</v>
      </c>
      <c r="B34" s="24" t="s">
        <v>185</v>
      </c>
      <c r="C34" s="24" t="s">
        <v>186</v>
      </c>
      <c r="D34" s="24" t="s">
        <v>141</v>
      </c>
      <c r="E34" s="24" t="s">
        <v>73</v>
      </c>
      <c r="F34" s="24" t="s">
        <v>71</v>
      </c>
      <c r="G34" s="24" t="s">
        <v>187</v>
      </c>
      <c r="H34">
        <v>2</v>
      </c>
      <c r="I34" s="31">
        <v>850000</v>
      </c>
      <c r="J34" s="31">
        <f>Table1[[#This Row],[Quantity]]*Table1[[#This Row],[Unit Price]]</f>
        <v>1700000</v>
      </c>
      <c r="K34" s="24" t="s">
        <v>112</v>
      </c>
    </row>
    <row r="35" spans="1:11" x14ac:dyDescent="0.2">
      <c r="A35" s="1">
        <v>45841</v>
      </c>
      <c r="B35" s="24" t="s">
        <v>188</v>
      </c>
      <c r="C35" s="24" t="s">
        <v>189</v>
      </c>
      <c r="D35" s="24" t="s">
        <v>110</v>
      </c>
      <c r="E35" s="24" t="s">
        <v>82</v>
      </c>
      <c r="F35" s="24" t="s">
        <v>80</v>
      </c>
      <c r="G35" s="24" t="s">
        <v>83</v>
      </c>
      <c r="H35">
        <v>1</v>
      </c>
      <c r="I35" s="31">
        <v>1850000</v>
      </c>
      <c r="J35" s="31">
        <f>Table1[[#This Row],[Quantity]]*Table1[[#This Row],[Unit Price]]</f>
        <v>1850000</v>
      </c>
      <c r="K35" s="24" t="s">
        <v>107</v>
      </c>
    </row>
    <row r="36" spans="1:11" x14ac:dyDescent="0.2">
      <c r="A36" s="1">
        <v>46068</v>
      </c>
      <c r="B36" s="24" t="s">
        <v>190</v>
      </c>
      <c r="C36" s="24" t="s">
        <v>191</v>
      </c>
      <c r="D36" s="24" t="s">
        <v>121</v>
      </c>
      <c r="E36" s="24" t="s">
        <v>38</v>
      </c>
      <c r="F36" s="24" t="s">
        <v>39</v>
      </c>
      <c r="G36" s="24" t="s">
        <v>40</v>
      </c>
      <c r="H36">
        <v>1</v>
      </c>
      <c r="I36" s="31">
        <v>1900000</v>
      </c>
      <c r="J36" s="31">
        <f>Table1[[#This Row],[Quantity]]*Table1[[#This Row],[Unit Price]]</f>
        <v>1900000</v>
      </c>
      <c r="K36" s="24" t="s">
        <v>100</v>
      </c>
    </row>
    <row r="37" spans="1:11" x14ac:dyDescent="0.2">
      <c r="A37" s="1">
        <v>46085</v>
      </c>
      <c r="B37" s="24" t="s">
        <v>192</v>
      </c>
      <c r="C37" s="24" t="s">
        <v>193</v>
      </c>
      <c r="D37" s="24" t="s">
        <v>194</v>
      </c>
      <c r="E37" s="24" t="s">
        <v>95</v>
      </c>
      <c r="F37" s="24" t="s">
        <v>87</v>
      </c>
      <c r="G37" s="24" t="s">
        <v>96</v>
      </c>
      <c r="H37">
        <v>5</v>
      </c>
      <c r="I37" s="31">
        <v>45000</v>
      </c>
      <c r="J37" s="31">
        <f>Table1[[#This Row],[Quantity]]*Table1[[#This Row],[Unit Price]]</f>
        <v>225000</v>
      </c>
      <c r="K37" s="24" t="s">
        <v>107</v>
      </c>
    </row>
    <row r="38" spans="1:11" x14ac:dyDescent="0.2">
      <c r="A38" s="1">
        <v>46022</v>
      </c>
      <c r="B38" s="24" t="s">
        <v>195</v>
      </c>
      <c r="C38" s="24" t="s">
        <v>196</v>
      </c>
      <c r="D38" s="24" t="s">
        <v>124</v>
      </c>
      <c r="E38" s="24" t="s">
        <v>25</v>
      </c>
      <c r="F38" s="24" t="s">
        <v>26</v>
      </c>
      <c r="G38" s="24" t="s">
        <v>153</v>
      </c>
      <c r="H38">
        <v>1</v>
      </c>
      <c r="I38" s="31">
        <v>4200000</v>
      </c>
      <c r="J38" s="31">
        <f>Table1[[#This Row],[Quantity]]*Table1[[#This Row],[Unit Price]]</f>
        <v>4200000</v>
      </c>
      <c r="K38" s="24" t="s">
        <v>112</v>
      </c>
    </row>
    <row r="39" spans="1:11" x14ac:dyDescent="0.2">
      <c r="A39" s="1">
        <v>45941</v>
      </c>
      <c r="B39" s="24" t="s">
        <v>195</v>
      </c>
      <c r="C39" s="24" t="s">
        <v>196</v>
      </c>
      <c r="D39" s="24" t="s">
        <v>124</v>
      </c>
      <c r="E39" s="24" t="s">
        <v>77</v>
      </c>
      <c r="F39" s="24" t="s">
        <v>71</v>
      </c>
      <c r="G39" s="24" t="s">
        <v>78</v>
      </c>
      <c r="H39">
        <v>1</v>
      </c>
      <c r="I39" s="31">
        <v>1350000</v>
      </c>
      <c r="J39" s="31">
        <f>Table1[[#This Row],[Quantity]]*Table1[[#This Row],[Unit Price]]</f>
        <v>1350000</v>
      </c>
      <c r="K39" s="24" t="s">
        <v>112</v>
      </c>
    </row>
    <row r="40" spans="1:11" x14ac:dyDescent="0.2">
      <c r="A40" s="1">
        <v>46096</v>
      </c>
      <c r="B40" s="24" t="s">
        <v>197</v>
      </c>
      <c r="C40" s="24" t="s">
        <v>198</v>
      </c>
      <c r="D40" s="24" t="s">
        <v>128</v>
      </c>
      <c r="E40" s="24" t="s">
        <v>41</v>
      </c>
      <c r="F40" s="24" t="s">
        <v>39</v>
      </c>
      <c r="G40" s="24" t="s">
        <v>42</v>
      </c>
      <c r="H40">
        <v>2</v>
      </c>
      <c r="I40" s="31">
        <v>1650000</v>
      </c>
      <c r="J40" s="31">
        <f>Table1[[#This Row],[Quantity]]*Table1[[#This Row],[Unit Price]]</f>
        <v>3300000</v>
      </c>
      <c r="K40" s="24" t="s">
        <v>107</v>
      </c>
    </row>
    <row r="41" spans="1:11" x14ac:dyDescent="0.2">
      <c r="A41" s="1">
        <v>46011</v>
      </c>
      <c r="B41" s="24" t="s">
        <v>197</v>
      </c>
      <c r="C41" s="24" t="s">
        <v>198</v>
      </c>
      <c r="D41" s="24" t="s">
        <v>128</v>
      </c>
      <c r="E41" s="24" t="s">
        <v>93</v>
      </c>
      <c r="F41" s="24" t="s">
        <v>87</v>
      </c>
      <c r="G41" s="24" t="s">
        <v>146</v>
      </c>
      <c r="H41">
        <v>2</v>
      </c>
      <c r="I41" s="31">
        <v>550000</v>
      </c>
      <c r="J41" s="31">
        <f>Table1[[#This Row],[Quantity]]*Table1[[#This Row],[Unit Price]]</f>
        <v>1100000</v>
      </c>
      <c r="K41" s="24" t="s">
        <v>107</v>
      </c>
    </row>
    <row r="42" spans="1:11" x14ac:dyDescent="0.2">
      <c r="A42" s="1">
        <v>45948</v>
      </c>
      <c r="B42" s="24" t="s">
        <v>199</v>
      </c>
      <c r="C42" s="24" t="s">
        <v>200</v>
      </c>
      <c r="D42" s="24" t="s">
        <v>131</v>
      </c>
      <c r="E42" s="24" t="s">
        <v>45</v>
      </c>
      <c r="F42" s="24" t="s">
        <v>39</v>
      </c>
      <c r="G42" s="24" t="s">
        <v>46</v>
      </c>
      <c r="H42">
        <v>1</v>
      </c>
      <c r="I42" s="31">
        <v>1450000</v>
      </c>
      <c r="J42" s="31">
        <f>Table1[[#This Row],[Quantity]]*Table1[[#This Row],[Unit Price]]</f>
        <v>1450000</v>
      </c>
      <c r="K42" s="24" t="s">
        <v>100</v>
      </c>
    </row>
    <row r="43" spans="1:11" x14ac:dyDescent="0.2">
      <c r="A43" s="1">
        <v>45779</v>
      </c>
      <c r="B43" s="24" t="s">
        <v>201</v>
      </c>
      <c r="C43" s="24" t="s">
        <v>202</v>
      </c>
      <c r="D43" s="24" t="s">
        <v>135</v>
      </c>
      <c r="E43" s="24" t="s">
        <v>34</v>
      </c>
      <c r="F43" s="24" t="s">
        <v>26</v>
      </c>
      <c r="G43" s="24" t="s">
        <v>203</v>
      </c>
      <c r="H43">
        <v>1</v>
      </c>
      <c r="I43" s="31">
        <v>1250000</v>
      </c>
      <c r="J43" s="31">
        <f>Table1[[#This Row],[Quantity]]*Table1[[#This Row],[Unit Price]]</f>
        <v>1250000</v>
      </c>
      <c r="K43" s="24" t="s">
        <v>112</v>
      </c>
    </row>
    <row r="44" spans="1:11" x14ac:dyDescent="0.2">
      <c r="A44" s="1">
        <v>45766</v>
      </c>
      <c r="B44" s="24" t="s">
        <v>204</v>
      </c>
      <c r="C44" s="24" t="s">
        <v>205</v>
      </c>
      <c r="D44" s="24" t="s">
        <v>138</v>
      </c>
      <c r="E44" s="24" t="s">
        <v>62</v>
      </c>
      <c r="F44" s="24" t="s">
        <v>60</v>
      </c>
      <c r="G44" s="24" t="s">
        <v>145</v>
      </c>
      <c r="H44">
        <v>1</v>
      </c>
      <c r="I44" s="31">
        <v>1100000</v>
      </c>
      <c r="J44" s="31">
        <f>Table1[[#This Row],[Quantity]]*Table1[[#This Row],[Unit Price]]</f>
        <v>1100000</v>
      </c>
      <c r="K44" s="24" t="s">
        <v>107</v>
      </c>
    </row>
    <row r="45" spans="1:11" x14ac:dyDescent="0.2">
      <c r="A45" s="1">
        <v>45929</v>
      </c>
      <c r="B45" s="24" t="s">
        <v>206</v>
      </c>
      <c r="C45" s="24" t="s">
        <v>207</v>
      </c>
      <c r="D45" s="24" t="s">
        <v>141</v>
      </c>
      <c r="E45" s="24" t="s">
        <v>97</v>
      </c>
      <c r="F45" s="24" t="s">
        <v>87</v>
      </c>
      <c r="G45" s="24" t="s">
        <v>98</v>
      </c>
      <c r="H45">
        <v>1</v>
      </c>
      <c r="I45" s="31">
        <v>850000</v>
      </c>
      <c r="J45" s="31">
        <f>Table1[[#This Row],[Quantity]]*Table1[[#This Row],[Unit Price]]</f>
        <v>850000</v>
      </c>
      <c r="K45" s="24" t="s">
        <v>112</v>
      </c>
    </row>
    <row r="46" spans="1:11" x14ac:dyDescent="0.2">
      <c r="A46" s="1">
        <v>45836</v>
      </c>
      <c r="B46" s="24" t="s">
        <v>208</v>
      </c>
      <c r="C46" s="24" t="s">
        <v>209</v>
      </c>
      <c r="D46" s="24" t="s">
        <v>144</v>
      </c>
      <c r="E46" s="24" t="s">
        <v>53</v>
      </c>
      <c r="F46" s="24" t="s">
        <v>39</v>
      </c>
      <c r="G46" s="24" t="s">
        <v>54</v>
      </c>
      <c r="H46">
        <v>1</v>
      </c>
      <c r="I46" s="31">
        <v>880000</v>
      </c>
      <c r="J46" s="31">
        <f>Table1[[#This Row],[Quantity]]*Table1[[#This Row],[Unit Price]]</f>
        <v>880000</v>
      </c>
      <c r="K46" s="24" t="s">
        <v>100</v>
      </c>
    </row>
    <row r="47" spans="1:11" x14ac:dyDescent="0.2">
      <c r="A47" s="1">
        <v>45952</v>
      </c>
      <c r="B47" s="24" t="s">
        <v>210</v>
      </c>
      <c r="C47" s="24" t="s">
        <v>211</v>
      </c>
      <c r="D47" s="24" t="s">
        <v>149</v>
      </c>
      <c r="E47" s="24" t="s">
        <v>75</v>
      </c>
      <c r="F47" s="24" t="s">
        <v>71</v>
      </c>
      <c r="G47" s="24" t="s">
        <v>76</v>
      </c>
      <c r="H47">
        <v>1</v>
      </c>
      <c r="I47" s="31">
        <v>620000</v>
      </c>
      <c r="J47" s="31">
        <f>Table1[[#This Row],[Quantity]]*Table1[[#This Row],[Unit Price]]</f>
        <v>620000</v>
      </c>
      <c r="K47" s="24" t="s">
        <v>107</v>
      </c>
    </row>
    <row r="48" spans="1:11" x14ac:dyDescent="0.2">
      <c r="A48" s="1">
        <v>46108</v>
      </c>
      <c r="B48" s="24" t="s">
        <v>212</v>
      </c>
      <c r="C48" s="24" t="s">
        <v>213</v>
      </c>
      <c r="D48" s="24" t="s">
        <v>152</v>
      </c>
      <c r="E48" s="24" t="s">
        <v>79</v>
      </c>
      <c r="F48" s="24" t="s">
        <v>80</v>
      </c>
      <c r="G48" s="24" t="s">
        <v>171</v>
      </c>
      <c r="H48">
        <v>1</v>
      </c>
      <c r="I48" s="31">
        <v>1600000</v>
      </c>
      <c r="J48" s="31">
        <f>Table1[[#This Row],[Quantity]]*Table1[[#This Row],[Unit Price]]</f>
        <v>1600000</v>
      </c>
      <c r="K48" s="24" t="s">
        <v>112</v>
      </c>
    </row>
    <row r="49" spans="1:11" x14ac:dyDescent="0.2">
      <c r="A49" s="1">
        <v>45862</v>
      </c>
      <c r="B49" s="24" t="s">
        <v>214</v>
      </c>
      <c r="C49" s="24" t="s">
        <v>215</v>
      </c>
      <c r="D49" s="24" t="s">
        <v>156</v>
      </c>
      <c r="E49" s="24" t="s">
        <v>89</v>
      </c>
      <c r="F49" s="24" t="s">
        <v>87</v>
      </c>
      <c r="G49" s="24" t="s">
        <v>90</v>
      </c>
      <c r="H49">
        <v>1</v>
      </c>
      <c r="I49" s="31">
        <v>580000</v>
      </c>
      <c r="J49" s="31">
        <f>Table1[[#This Row],[Quantity]]*Table1[[#This Row],[Unit Price]]</f>
        <v>580000</v>
      </c>
      <c r="K49" s="24" t="s">
        <v>107</v>
      </c>
    </row>
    <row r="50" spans="1:11" x14ac:dyDescent="0.2">
      <c r="A50" s="1">
        <v>46069</v>
      </c>
      <c r="B50" s="24" t="s">
        <v>216</v>
      </c>
      <c r="C50" s="24" t="s">
        <v>217</v>
      </c>
      <c r="D50" s="24" t="s">
        <v>159</v>
      </c>
      <c r="E50" s="24" t="s">
        <v>64</v>
      </c>
      <c r="F50" s="24" t="s">
        <v>60</v>
      </c>
      <c r="G50" s="24" t="s">
        <v>218</v>
      </c>
      <c r="H50">
        <v>2</v>
      </c>
      <c r="I50" s="31">
        <v>450000</v>
      </c>
      <c r="J50" s="31">
        <f>Table1[[#This Row],[Quantity]]*Table1[[#This Row],[Unit Price]]</f>
        <v>900000</v>
      </c>
      <c r="K50" s="24" t="s">
        <v>100</v>
      </c>
    </row>
    <row r="51" spans="1:11" x14ac:dyDescent="0.2">
      <c r="A51" s="1">
        <v>45793</v>
      </c>
      <c r="B51" s="24" t="s">
        <v>219</v>
      </c>
      <c r="C51" s="24" t="s">
        <v>220</v>
      </c>
      <c r="D51" s="24" t="s">
        <v>163</v>
      </c>
      <c r="E51" s="24" t="s">
        <v>57</v>
      </c>
      <c r="F51" s="24" t="s">
        <v>39</v>
      </c>
      <c r="G51" s="24" t="s">
        <v>58</v>
      </c>
      <c r="H51">
        <v>1</v>
      </c>
      <c r="I51" s="31">
        <v>450000</v>
      </c>
      <c r="J51" s="31">
        <f>Table1[[#This Row],[Quantity]]*Table1[[#This Row],[Unit Price]]</f>
        <v>450000</v>
      </c>
      <c r="K51" s="24" t="s">
        <v>112</v>
      </c>
    </row>
    <row r="52" spans="1:11" x14ac:dyDescent="0.2">
      <c r="A52" s="1">
        <v>46023</v>
      </c>
      <c r="B52" s="24" t="s">
        <v>221</v>
      </c>
      <c r="C52" s="24" t="s">
        <v>222</v>
      </c>
      <c r="D52" s="24" t="s">
        <v>167</v>
      </c>
      <c r="E52" s="24" t="s">
        <v>32</v>
      </c>
      <c r="F52" s="24" t="s">
        <v>26</v>
      </c>
      <c r="G52" s="24" t="s">
        <v>164</v>
      </c>
      <c r="H52">
        <v>1</v>
      </c>
      <c r="I52" s="31">
        <v>1950000</v>
      </c>
      <c r="J52" s="31">
        <f>Table1[[#This Row],[Quantity]]*Table1[[#This Row],[Unit Price]]</f>
        <v>1950000</v>
      </c>
      <c r="K52" s="24" t="s">
        <v>107</v>
      </c>
    </row>
    <row r="53" spans="1:11" x14ac:dyDescent="0.2">
      <c r="A53" s="1">
        <v>45816</v>
      </c>
      <c r="B53" s="24" t="s">
        <v>223</v>
      </c>
      <c r="C53" s="24" t="s">
        <v>224</v>
      </c>
      <c r="D53" s="24" t="s">
        <v>170</v>
      </c>
      <c r="E53" s="24" t="s">
        <v>91</v>
      </c>
      <c r="F53" s="24" t="s">
        <v>87</v>
      </c>
      <c r="G53" s="24" t="s">
        <v>92</v>
      </c>
      <c r="H53">
        <v>3</v>
      </c>
      <c r="I53" s="31">
        <v>380000</v>
      </c>
      <c r="J53" s="31">
        <f>Table1[[#This Row],[Quantity]]*Table1[[#This Row],[Unit Price]]</f>
        <v>1140000</v>
      </c>
      <c r="K53" s="24" t="s">
        <v>112</v>
      </c>
    </row>
    <row r="54" spans="1:11" x14ac:dyDescent="0.2">
      <c r="A54" s="1">
        <v>45856</v>
      </c>
      <c r="B54" s="24" t="s">
        <v>225</v>
      </c>
      <c r="C54" s="24" t="s">
        <v>226</v>
      </c>
      <c r="D54" s="24" t="s">
        <v>227</v>
      </c>
      <c r="E54" s="24" t="s">
        <v>38</v>
      </c>
      <c r="F54" s="24" t="s">
        <v>39</v>
      </c>
      <c r="G54" s="24" t="s">
        <v>40</v>
      </c>
      <c r="H54">
        <v>1</v>
      </c>
      <c r="I54" s="31">
        <v>1900000</v>
      </c>
      <c r="J54" s="31">
        <f>Table1[[#This Row],[Quantity]]*Table1[[#This Row],[Unit Price]]</f>
        <v>1900000</v>
      </c>
      <c r="K54" s="24" t="s">
        <v>107</v>
      </c>
    </row>
    <row r="55" spans="1:11" x14ac:dyDescent="0.2">
      <c r="A55" s="1">
        <v>45767</v>
      </c>
      <c r="B55" s="24" t="s">
        <v>228</v>
      </c>
      <c r="C55" s="24" t="s">
        <v>229</v>
      </c>
      <c r="D55" s="24" t="s">
        <v>174</v>
      </c>
      <c r="E55" s="24" t="s">
        <v>97</v>
      </c>
      <c r="F55" s="24" t="s">
        <v>87</v>
      </c>
      <c r="G55" s="24" t="s">
        <v>98</v>
      </c>
      <c r="H55">
        <v>1</v>
      </c>
      <c r="I55" s="31">
        <v>850000</v>
      </c>
      <c r="J55" s="31">
        <f>Table1[[#This Row],[Quantity]]*Table1[[#This Row],[Unit Price]]</f>
        <v>850000</v>
      </c>
      <c r="K55" s="24" t="s">
        <v>100</v>
      </c>
    </row>
    <row r="56" spans="1:11" x14ac:dyDescent="0.2">
      <c r="A56" s="1">
        <v>45801</v>
      </c>
      <c r="B56" s="24" t="s">
        <v>230</v>
      </c>
      <c r="C56" s="24" t="s">
        <v>231</v>
      </c>
      <c r="D56" s="24" t="s">
        <v>177</v>
      </c>
      <c r="E56" s="24" t="s">
        <v>36</v>
      </c>
      <c r="F56" s="24" t="s">
        <v>26</v>
      </c>
      <c r="G56" s="24" t="s">
        <v>132</v>
      </c>
      <c r="H56">
        <v>1</v>
      </c>
      <c r="I56" s="31">
        <v>950000</v>
      </c>
      <c r="J56" s="31">
        <f>Table1[[#This Row],[Quantity]]*Table1[[#This Row],[Unit Price]]</f>
        <v>950000</v>
      </c>
      <c r="K56" s="24" t="s">
        <v>112</v>
      </c>
    </row>
    <row r="57" spans="1:11" x14ac:dyDescent="0.2">
      <c r="A57" s="1">
        <v>46030</v>
      </c>
      <c r="B57" s="24" t="s">
        <v>232</v>
      </c>
      <c r="C57" s="24" t="s">
        <v>233</v>
      </c>
      <c r="D57" s="24" t="s">
        <v>181</v>
      </c>
      <c r="E57" s="24" t="s">
        <v>49</v>
      </c>
      <c r="F57" s="24" t="s">
        <v>39</v>
      </c>
      <c r="G57" s="24" t="s">
        <v>50</v>
      </c>
      <c r="H57">
        <v>1</v>
      </c>
      <c r="I57" s="31">
        <v>1050000</v>
      </c>
      <c r="J57" s="31">
        <f>Table1[[#This Row],[Quantity]]*Table1[[#This Row],[Unit Price]]</f>
        <v>1050000</v>
      </c>
      <c r="K57" s="24" t="s">
        <v>107</v>
      </c>
    </row>
    <row r="58" spans="1:11" x14ac:dyDescent="0.2">
      <c r="A58" s="1">
        <v>46014</v>
      </c>
      <c r="B58" s="24" t="s">
        <v>234</v>
      </c>
      <c r="C58" s="24" t="s">
        <v>235</v>
      </c>
      <c r="D58" s="24" t="s">
        <v>184</v>
      </c>
      <c r="E58" s="24" t="s">
        <v>84</v>
      </c>
      <c r="F58" s="24" t="s">
        <v>80</v>
      </c>
      <c r="G58" s="24" t="s">
        <v>85</v>
      </c>
      <c r="H58">
        <v>1</v>
      </c>
      <c r="I58" s="31">
        <v>650000</v>
      </c>
      <c r="J58" s="31">
        <f>Table1[[#This Row],[Quantity]]*Table1[[#This Row],[Unit Price]]</f>
        <v>650000</v>
      </c>
      <c r="K58" s="24" t="s">
        <v>100</v>
      </c>
    </row>
    <row r="59" spans="1:11" x14ac:dyDescent="0.2">
      <c r="A59" s="1">
        <v>46030</v>
      </c>
      <c r="B59" s="24" t="s">
        <v>236</v>
      </c>
      <c r="C59" s="24" t="s">
        <v>237</v>
      </c>
      <c r="D59" s="24" t="s">
        <v>141</v>
      </c>
      <c r="E59" s="24" t="s">
        <v>59</v>
      </c>
      <c r="F59" s="24" t="s">
        <v>60</v>
      </c>
      <c r="G59" s="24" t="s">
        <v>160</v>
      </c>
      <c r="H59">
        <v>1</v>
      </c>
      <c r="I59" s="31">
        <v>950000</v>
      </c>
      <c r="J59" s="31">
        <f>Table1[[#This Row],[Quantity]]*Table1[[#This Row],[Unit Price]]</f>
        <v>950000</v>
      </c>
      <c r="K59" s="24" t="s">
        <v>112</v>
      </c>
    </row>
    <row r="60" spans="1:11" x14ac:dyDescent="0.2">
      <c r="A60" s="1">
        <v>46072</v>
      </c>
      <c r="B60" s="24" t="s">
        <v>238</v>
      </c>
      <c r="C60" s="24" t="s">
        <v>239</v>
      </c>
      <c r="D60" s="24" t="s">
        <v>110</v>
      </c>
      <c r="E60" s="24" t="s">
        <v>43</v>
      </c>
      <c r="F60" s="24" t="s">
        <v>39</v>
      </c>
      <c r="G60" s="24" t="s">
        <v>44</v>
      </c>
      <c r="H60">
        <v>1</v>
      </c>
      <c r="I60" s="31">
        <v>1150000</v>
      </c>
      <c r="J60" s="31">
        <f>Table1[[#This Row],[Quantity]]*Table1[[#This Row],[Unit Price]]</f>
        <v>1150000</v>
      </c>
      <c r="K60" s="24" t="s">
        <v>107</v>
      </c>
    </row>
    <row r="61" spans="1:11" x14ac:dyDescent="0.2">
      <c r="A61" s="1">
        <v>45830</v>
      </c>
      <c r="B61" s="24" t="s">
        <v>240</v>
      </c>
      <c r="C61" s="24" t="s">
        <v>241</v>
      </c>
      <c r="D61" s="24" t="s">
        <v>121</v>
      </c>
      <c r="E61" s="24" t="s">
        <v>95</v>
      </c>
      <c r="F61" s="24" t="s">
        <v>87</v>
      </c>
      <c r="G61" s="24" t="s">
        <v>96</v>
      </c>
      <c r="H61">
        <v>10</v>
      </c>
      <c r="I61" s="31">
        <v>45000</v>
      </c>
      <c r="J61" s="31">
        <f>Table1[[#This Row],[Quantity]]*Table1[[#This Row],[Unit Price]]</f>
        <v>450000</v>
      </c>
      <c r="K61" s="24" t="s">
        <v>107</v>
      </c>
    </row>
    <row r="62" spans="1:11" x14ac:dyDescent="0.2">
      <c r="A62" s="1">
        <v>45928</v>
      </c>
      <c r="B62" s="24" t="s">
        <v>242</v>
      </c>
      <c r="C62" s="24" t="s">
        <v>243</v>
      </c>
      <c r="D62" s="24" t="s">
        <v>194</v>
      </c>
      <c r="E62" s="24" t="s">
        <v>73</v>
      </c>
      <c r="F62" s="24" t="s">
        <v>71</v>
      </c>
      <c r="G62" s="24" t="s">
        <v>187</v>
      </c>
      <c r="H62">
        <v>1</v>
      </c>
      <c r="I62" s="31">
        <v>850000</v>
      </c>
      <c r="J62" s="31">
        <f>Table1[[#This Row],[Quantity]]*Table1[[#This Row],[Unit Price]]</f>
        <v>850000</v>
      </c>
      <c r="K62" s="24" t="s">
        <v>112</v>
      </c>
    </row>
    <row r="63" spans="1:11" x14ac:dyDescent="0.2">
      <c r="A63" s="1">
        <v>45800</v>
      </c>
      <c r="B63" s="24" t="s">
        <v>244</v>
      </c>
      <c r="C63" s="24" t="s">
        <v>245</v>
      </c>
      <c r="D63" s="24" t="s">
        <v>124</v>
      </c>
      <c r="E63" s="24" t="s">
        <v>89</v>
      </c>
      <c r="F63" s="24" t="s">
        <v>87</v>
      </c>
      <c r="G63" s="24" t="s">
        <v>90</v>
      </c>
      <c r="H63">
        <v>1</v>
      </c>
      <c r="I63" s="31">
        <v>580000</v>
      </c>
      <c r="J63" s="31">
        <f>Table1[[#This Row],[Quantity]]*Table1[[#This Row],[Unit Price]]</f>
        <v>580000</v>
      </c>
      <c r="K63" s="24" t="s">
        <v>100</v>
      </c>
    </row>
    <row r="64" spans="1:11" x14ac:dyDescent="0.2">
      <c r="A64" s="1">
        <v>45960</v>
      </c>
      <c r="B64" s="24" t="s">
        <v>246</v>
      </c>
      <c r="C64" s="24" t="s">
        <v>247</v>
      </c>
      <c r="D64" s="24" t="s">
        <v>128</v>
      </c>
      <c r="E64" s="24" t="s">
        <v>28</v>
      </c>
      <c r="F64" s="24" t="s">
        <v>26</v>
      </c>
      <c r="G64" s="24" t="s">
        <v>111</v>
      </c>
      <c r="H64">
        <v>1</v>
      </c>
      <c r="I64" s="31">
        <v>2850000</v>
      </c>
      <c r="J64" s="31">
        <f>Table1[[#This Row],[Quantity]]*Table1[[#This Row],[Unit Price]]</f>
        <v>2850000</v>
      </c>
      <c r="K64" s="24" t="s">
        <v>107</v>
      </c>
    </row>
    <row r="65" spans="1:11" x14ac:dyDescent="0.2">
      <c r="A65" s="1">
        <v>45910</v>
      </c>
      <c r="B65" s="24" t="s">
        <v>248</v>
      </c>
      <c r="C65" s="24" t="s">
        <v>249</v>
      </c>
      <c r="D65" s="24" t="s">
        <v>131</v>
      </c>
      <c r="E65" s="24" t="s">
        <v>41</v>
      </c>
      <c r="F65" s="24" t="s">
        <v>39</v>
      </c>
      <c r="G65" s="24" t="s">
        <v>42</v>
      </c>
      <c r="H65">
        <v>1</v>
      </c>
      <c r="I65" s="31">
        <v>1650000</v>
      </c>
      <c r="J65" s="31">
        <f>Table1[[#This Row],[Quantity]]*Table1[[#This Row],[Unit Price]]</f>
        <v>1650000</v>
      </c>
      <c r="K65" s="24" t="s">
        <v>112</v>
      </c>
    </row>
    <row r="66" spans="1:11" x14ac:dyDescent="0.2">
      <c r="A66" s="1">
        <v>46058</v>
      </c>
      <c r="B66" s="24" t="s">
        <v>250</v>
      </c>
      <c r="C66" s="24" t="s">
        <v>251</v>
      </c>
      <c r="D66" s="24" t="s">
        <v>135</v>
      </c>
      <c r="E66" s="24" t="s">
        <v>82</v>
      </c>
      <c r="F66" s="24" t="s">
        <v>80</v>
      </c>
      <c r="G66" s="24" t="s">
        <v>83</v>
      </c>
      <c r="H66">
        <v>1</v>
      </c>
      <c r="I66" s="31">
        <v>1850000</v>
      </c>
      <c r="J66" s="31">
        <f>Table1[[#This Row],[Quantity]]*Table1[[#This Row],[Unit Price]]</f>
        <v>1850000</v>
      </c>
      <c r="K66" s="24" t="s">
        <v>107</v>
      </c>
    </row>
    <row r="67" spans="1:11" x14ac:dyDescent="0.2">
      <c r="A67" s="1">
        <v>45792</v>
      </c>
      <c r="B67" s="24" t="s">
        <v>252</v>
      </c>
      <c r="C67" s="24" t="s">
        <v>253</v>
      </c>
      <c r="D67" s="24" t="s">
        <v>138</v>
      </c>
      <c r="E67" s="24" t="s">
        <v>68</v>
      </c>
      <c r="F67" s="24" t="s">
        <v>60</v>
      </c>
      <c r="G67" s="24" t="s">
        <v>69</v>
      </c>
      <c r="H67">
        <v>1</v>
      </c>
      <c r="I67" s="31">
        <v>1800000</v>
      </c>
      <c r="J67" s="31">
        <f>Table1[[#This Row],[Quantity]]*Table1[[#This Row],[Unit Price]]</f>
        <v>1800000</v>
      </c>
      <c r="K67" s="24" t="s">
        <v>100</v>
      </c>
    </row>
    <row r="68" spans="1:11" x14ac:dyDescent="0.2">
      <c r="A68" s="1">
        <v>45984</v>
      </c>
      <c r="B68" s="24" t="s">
        <v>254</v>
      </c>
      <c r="C68" s="24" t="s">
        <v>255</v>
      </c>
      <c r="D68" s="24" t="s">
        <v>141</v>
      </c>
      <c r="E68" s="24" t="s">
        <v>45</v>
      </c>
      <c r="F68" s="24" t="s">
        <v>39</v>
      </c>
      <c r="G68" s="24" t="s">
        <v>46</v>
      </c>
      <c r="H68">
        <v>1</v>
      </c>
      <c r="I68" s="31">
        <v>1450000</v>
      </c>
      <c r="J68" s="31">
        <f>Table1[[#This Row],[Quantity]]*Table1[[#This Row],[Unit Price]]</f>
        <v>1450000</v>
      </c>
      <c r="K68" s="24" t="s">
        <v>112</v>
      </c>
    </row>
    <row r="69" spans="1:11" x14ac:dyDescent="0.2">
      <c r="A69" s="1">
        <v>45850</v>
      </c>
      <c r="B69" s="24" t="s">
        <v>254</v>
      </c>
      <c r="C69" s="24" t="s">
        <v>255</v>
      </c>
      <c r="D69" s="24" t="s">
        <v>141</v>
      </c>
      <c r="E69" s="24" t="s">
        <v>86</v>
      </c>
      <c r="F69" s="24" t="s">
        <v>87</v>
      </c>
      <c r="G69" s="24" t="s">
        <v>88</v>
      </c>
      <c r="H69">
        <v>1</v>
      </c>
      <c r="I69" s="31">
        <v>1100000</v>
      </c>
      <c r="J69" s="31">
        <f>Table1[[#This Row],[Quantity]]*Table1[[#This Row],[Unit Price]]</f>
        <v>1100000</v>
      </c>
      <c r="K69" s="24" t="s">
        <v>112</v>
      </c>
    </row>
    <row r="70" spans="1:11" x14ac:dyDescent="0.2">
      <c r="A70" s="1">
        <v>45771</v>
      </c>
      <c r="B70" s="24" t="s">
        <v>256</v>
      </c>
      <c r="C70" s="24" t="s">
        <v>257</v>
      </c>
      <c r="D70" s="24" t="s">
        <v>144</v>
      </c>
      <c r="E70" s="24" t="s">
        <v>30</v>
      </c>
      <c r="F70" s="24" t="s">
        <v>26</v>
      </c>
      <c r="G70" s="24" t="s">
        <v>178</v>
      </c>
      <c r="H70">
        <v>1</v>
      </c>
      <c r="I70" s="31">
        <v>1450000</v>
      </c>
      <c r="J70" s="31">
        <f>Table1[[#This Row],[Quantity]]*Table1[[#This Row],[Unit Price]]</f>
        <v>1450000</v>
      </c>
      <c r="K70" s="24" t="s">
        <v>107</v>
      </c>
    </row>
    <row r="71" spans="1:11" x14ac:dyDescent="0.2">
      <c r="A71" s="1">
        <v>45759</v>
      </c>
      <c r="B71" s="24" t="s">
        <v>258</v>
      </c>
      <c r="C71" s="24" t="s">
        <v>259</v>
      </c>
      <c r="D71" s="24" t="s">
        <v>149</v>
      </c>
      <c r="E71" s="24" t="s">
        <v>93</v>
      </c>
      <c r="F71" s="24" t="s">
        <v>87</v>
      </c>
      <c r="G71" s="24" t="s">
        <v>146</v>
      </c>
      <c r="H71">
        <v>1</v>
      </c>
      <c r="I71" s="31">
        <v>550000</v>
      </c>
      <c r="J71" s="31">
        <f>Table1[[#This Row],[Quantity]]*Table1[[#This Row],[Unit Price]]</f>
        <v>550000</v>
      </c>
      <c r="K71" s="24" t="s">
        <v>100</v>
      </c>
    </row>
    <row r="72" spans="1:11" x14ac:dyDescent="0.2">
      <c r="A72" s="1">
        <v>45826</v>
      </c>
      <c r="B72" s="24" t="s">
        <v>260</v>
      </c>
      <c r="C72" s="24" t="s">
        <v>261</v>
      </c>
      <c r="D72" s="24" t="s">
        <v>152</v>
      </c>
      <c r="E72" s="24" t="s">
        <v>51</v>
      </c>
      <c r="F72" s="24" t="s">
        <v>39</v>
      </c>
      <c r="G72" s="24" t="s">
        <v>52</v>
      </c>
      <c r="H72">
        <v>1</v>
      </c>
      <c r="I72" s="31">
        <v>1100000</v>
      </c>
      <c r="J72" s="31">
        <f>Table1[[#This Row],[Quantity]]*Table1[[#This Row],[Unit Price]]</f>
        <v>1100000</v>
      </c>
      <c r="K72" s="24" t="s">
        <v>112</v>
      </c>
    </row>
    <row r="73" spans="1:11" x14ac:dyDescent="0.2">
      <c r="A73" s="1">
        <v>46084</v>
      </c>
      <c r="B73" s="24" t="s">
        <v>262</v>
      </c>
      <c r="C73" s="24" t="s">
        <v>263</v>
      </c>
      <c r="D73" s="24" t="s">
        <v>156</v>
      </c>
      <c r="E73" s="24" t="s">
        <v>77</v>
      </c>
      <c r="F73" s="24" t="s">
        <v>71</v>
      </c>
      <c r="G73" s="24" t="s">
        <v>78</v>
      </c>
      <c r="H73">
        <v>1</v>
      </c>
      <c r="I73" s="31">
        <v>1350000</v>
      </c>
      <c r="J73" s="31">
        <f>Table1[[#This Row],[Quantity]]*Table1[[#This Row],[Unit Price]]</f>
        <v>1350000</v>
      </c>
      <c r="K73" s="24" t="s">
        <v>107</v>
      </c>
    </row>
    <row r="74" spans="1:11" x14ac:dyDescent="0.2">
      <c r="A74" s="1">
        <v>45950</v>
      </c>
      <c r="B74" s="24" t="s">
        <v>264</v>
      </c>
      <c r="C74" s="24" t="s">
        <v>265</v>
      </c>
      <c r="D74" s="24" t="s">
        <v>159</v>
      </c>
      <c r="E74" s="24" t="s">
        <v>62</v>
      </c>
      <c r="F74" s="24" t="s">
        <v>60</v>
      </c>
      <c r="G74" s="24" t="s">
        <v>145</v>
      </c>
      <c r="H74">
        <v>1</v>
      </c>
      <c r="I74" s="31">
        <v>1100000</v>
      </c>
      <c r="J74" s="31">
        <f>Table1[[#This Row],[Quantity]]*Table1[[#This Row],[Unit Price]]</f>
        <v>1100000</v>
      </c>
      <c r="K74" s="24" t="s">
        <v>100</v>
      </c>
    </row>
    <row r="75" spans="1:11" x14ac:dyDescent="0.2">
      <c r="A75" s="1">
        <v>46065</v>
      </c>
      <c r="B75" s="24" t="s">
        <v>266</v>
      </c>
      <c r="C75" s="24" t="s">
        <v>267</v>
      </c>
      <c r="D75" s="24" t="s">
        <v>163</v>
      </c>
      <c r="E75" s="24" t="s">
        <v>38</v>
      </c>
      <c r="F75" s="24" t="s">
        <v>39</v>
      </c>
      <c r="G75" s="24" t="s">
        <v>40</v>
      </c>
      <c r="H75">
        <v>1</v>
      </c>
      <c r="I75" s="31">
        <v>1900000</v>
      </c>
      <c r="J75" s="31">
        <f>Table1[[#This Row],[Quantity]]*Table1[[#This Row],[Unit Price]]</f>
        <v>1900000</v>
      </c>
      <c r="K75" s="24" t="s">
        <v>112</v>
      </c>
    </row>
    <row r="76" spans="1:11" x14ac:dyDescent="0.2">
      <c r="A76" s="1">
        <v>45922</v>
      </c>
      <c r="B76" s="24" t="s">
        <v>268</v>
      </c>
      <c r="C76" s="24" t="s">
        <v>269</v>
      </c>
      <c r="D76" s="24" t="s">
        <v>167</v>
      </c>
      <c r="E76" s="24" t="s">
        <v>25</v>
      </c>
      <c r="F76" s="24" t="s">
        <v>26</v>
      </c>
      <c r="G76" s="24" t="s">
        <v>153</v>
      </c>
      <c r="H76">
        <v>1</v>
      </c>
      <c r="I76" s="31">
        <v>4200000</v>
      </c>
      <c r="J76" s="31">
        <f>Table1[[#This Row],[Quantity]]*Table1[[#This Row],[Unit Price]]</f>
        <v>4200000</v>
      </c>
      <c r="K76" s="24" t="s">
        <v>107</v>
      </c>
    </row>
    <row r="77" spans="1:11" x14ac:dyDescent="0.2">
      <c r="A77" s="1">
        <v>45878</v>
      </c>
      <c r="B77" s="24" t="s">
        <v>270</v>
      </c>
      <c r="C77" s="24" t="s">
        <v>271</v>
      </c>
      <c r="D77" s="24" t="s">
        <v>170</v>
      </c>
      <c r="E77" s="24" t="s">
        <v>91</v>
      </c>
      <c r="F77" s="24" t="s">
        <v>87</v>
      </c>
      <c r="G77" s="24" t="s">
        <v>92</v>
      </c>
      <c r="H77">
        <v>2</v>
      </c>
      <c r="I77" s="31">
        <v>380000</v>
      </c>
      <c r="J77" s="31">
        <f>Table1[[#This Row],[Quantity]]*Table1[[#This Row],[Unit Price]]</f>
        <v>760000</v>
      </c>
      <c r="K77" s="24" t="s">
        <v>112</v>
      </c>
    </row>
    <row r="78" spans="1:11" x14ac:dyDescent="0.2">
      <c r="A78" s="1">
        <v>45777</v>
      </c>
      <c r="B78" s="24" t="s">
        <v>272</v>
      </c>
      <c r="C78" s="24" t="s">
        <v>273</v>
      </c>
      <c r="D78" s="24" t="s">
        <v>227</v>
      </c>
      <c r="E78" s="24" t="s">
        <v>79</v>
      </c>
      <c r="F78" s="24" t="s">
        <v>80</v>
      </c>
      <c r="G78" s="24" t="s">
        <v>171</v>
      </c>
      <c r="H78">
        <v>1</v>
      </c>
      <c r="I78" s="31">
        <v>1600000</v>
      </c>
      <c r="J78" s="31">
        <f>Table1[[#This Row],[Quantity]]*Table1[[#This Row],[Unit Price]]</f>
        <v>1600000</v>
      </c>
      <c r="K78" s="24" t="s">
        <v>100</v>
      </c>
    </row>
    <row r="79" spans="1:11" x14ac:dyDescent="0.2">
      <c r="A79" s="1">
        <v>45903</v>
      </c>
      <c r="B79" s="24" t="s">
        <v>274</v>
      </c>
      <c r="C79" s="24" t="s">
        <v>275</v>
      </c>
      <c r="D79" s="24" t="s">
        <v>174</v>
      </c>
      <c r="E79" s="24" t="s">
        <v>47</v>
      </c>
      <c r="F79" s="24" t="s">
        <v>39</v>
      </c>
      <c r="G79" s="24" t="s">
        <v>48</v>
      </c>
      <c r="H79">
        <v>1</v>
      </c>
      <c r="I79" s="31">
        <v>1250000</v>
      </c>
      <c r="J79" s="31">
        <f>Table1[[#This Row],[Quantity]]*Table1[[#This Row],[Unit Price]]</f>
        <v>1250000</v>
      </c>
      <c r="K79" s="24" t="s">
        <v>112</v>
      </c>
    </row>
    <row r="80" spans="1:11" x14ac:dyDescent="0.2">
      <c r="A80" s="1">
        <v>46073</v>
      </c>
      <c r="B80" s="24" t="s">
        <v>276</v>
      </c>
      <c r="C80" s="24" t="s">
        <v>277</v>
      </c>
      <c r="D80" s="24" t="s">
        <v>177</v>
      </c>
      <c r="E80" s="24" t="s">
        <v>36</v>
      </c>
      <c r="F80" s="24" t="s">
        <v>26</v>
      </c>
      <c r="G80" s="24" t="s">
        <v>132</v>
      </c>
      <c r="H80">
        <v>2</v>
      </c>
      <c r="I80" s="31">
        <v>950000</v>
      </c>
      <c r="J80" s="31">
        <f>Table1[[#This Row],[Quantity]]*Table1[[#This Row],[Unit Price]]</f>
        <v>1900000</v>
      </c>
      <c r="K80" s="24" t="s">
        <v>107</v>
      </c>
    </row>
    <row r="81" spans="1:11" x14ac:dyDescent="0.2">
      <c r="A81" s="1">
        <v>46024</v>
      </c>
      <c r="B81" s="24" t="s">
        <v>278</v>
      </c>
      <c r="C81" s="24" t="s">
        <v>279</v>
      </c>
      <c r="D81" s="24" t="s">
        <v>181</v>
      </c>
      <c r="E81" s="24" t="s">
        <v>55</v>
      </c>
      <c r="F81" s="24" t="s">
        <v>39</v>
      </c>
      <c r="G81" s="24" t="s">
        <v>56</v>
      </c>
      <c r="H81">
        <v>1</v>
      </c>
      <c r="I81" s="31">
        <v>650000</v>
      </c>
      <c r="J81" s="31">
        <f>Table1[[#This Row],[Quantity]]*Table1[[#This Row],[Unit Price]]</f>
        <v>650000</v>
      </c>
      <c r="K81" s="24" t="s">
        <v>112</v>
      </c>
    </row>
    <row r="82" spans="1:11" x14ac:dyDescent="0.2">
      <c r="A82" s="1">
        <v>45932</v>
      </c>
      <c r="B82" s="24" t="s">
        <v>280</v>
      </c>
      <c r="C82" s="24" t="s">
        <v>281</v>
      </c>
      <c r="D82" s="24" t="s">
        <v>184</v>
      </c>
      <c r="E82" s="24" t="s">
        <v>95</v>
      </c>
      <c r="F82" s="24" t="s">
        <v>87</v>
      </c>
      <c r="G82" s="24" t="s">
        <v>96</v>
      </c>
      <c r="H82">
        <v>4</v>
      </c>
      <c r="I82" s="31">
        <v>45000</v>
      </c>
      <c r="J82" s="31">
        <f>Table1[[#This Row],[Quantity]]*Table1[[#This Row],[Unit Price]]</f>
        <v>180000</v>
      </c>
      <c r="K82" s="24" t="s">
        <v>100</v>
      </c>
    </row>
    <row r="83" spans="1:11" x14ac:dyDescent="0.2">
      <c r="A83" s="1">
        <v>45892</v>
      </c>
      <c r="B83" s="24" t="s">
        <v>282</v>
      </c>
      <c r="C83" s="24" t="s">
        <v>283</v>
      </c>
      <c r="D83" s="24" t="s">
        <v>141</v>
      </c>
      <c r="E83" s="24" t="s">
        <v>66</v>
      </c>
      <c r="F83" s="24" t="s">
        <v>60</v>
      </c>
      <c r="G83" s="24" t="s">
        <v>67</v>
      </c>
      <c r="H83">
        <v>1</v>
      </c>
      <c r="I83" s="31">
        <v>2100000</v>
      </c>
      <c r="J83" s="31">
        <f>Table1[[#This Row],[Quantity]]*Table1[[#This Row],[Unit Price]]</f>
        <v>2100000</v>
      </c>
      <c r="K83" s="24" t="s">
        <v>107</v>
      </c>
    </row>
    <row r="84" spans="1:11" x14ac:dyDescent="0.2">
      <c r="A84" s="1">
        <v>45868</v>
      </c>
      <c r="B84" s="24" t="s">
        <v>284</v>
      </c>
      <c r="C84" s="24" t="s">
        <v>285</v>
      </c>
      <c r="D84" s="24" t="s">
        <v>110</v>
      </c>
      <c r="E84" s="24" t="s">
        <v>43</v>
      </c>
      <c r="F84" s="24" t="s">
        <v>39</v>
      </c>
      <c r="G84" s="24" t="s">
        <v>44</v>
      </c>
      <c r="H84">
        <v>1</v>
      </c>
      <c r="I84" s="31">
        <v>1150000</v>
      </c>
      <c r="J84" s="31">
        <f>Table1[[#This Row],[Quantity]]*Table1[[#This Row],[Unit Price]]</f>
        <v>1150000</v>
      </c>
      <c r="K84" s="24" t="s">
        <v>112</v>
      </c>
    </row>
    <row r="85" spans="1:11" x14ac:dyDescent="0.2">
      <c r="A85" s="1">
        <v>45971</v>
      </c>
      <c r="B85" s="24" t="s">
        <v>286</v>
      </c>
      <c r="C85" s="24" t="s">
        <v>287</v>
      </c>
      <c r="D85" s="24" t="s">
        <v>121</v>
      </c>
      <c r="E85" s="24" t="s">
        <v>70</v>
      </c>
      <c r="F85" s="24" t="s">
        <v>71</v>
      </c>
      <c r="G85" s="24" t="s">
        <v>125</v>
      </c>
      <c r="H85">
        <v>1</v>
      </c>
      <c r="I85" s="31">
        <v>1550000</v>
      </c>
      <c r="J85" s="31">
        <f>Table1[[#This Row],[Quantity]]*Table1[[#This Row],[Unit Price]]</f>
        <v>1550000</v>
      </c>
      <c r="K85" s="24" t="s">
        <v>100</v>
      </c>
    </row>
    <row r="86" spans="1:11" x14ac:dyDescent="0.2">
      <c r="A86" s="1">
        <v>46022</v>
      </c>
      <c r="B86" s="24" t="s">
        <v>288</v>
      </c>
      <c r="C86" s="24" t="s">
        <v>289</v>
      </c>
      <c r="D86" s="24" t="s">
        <v>194</v>
      </c>
      <c r="E86" s="24" t="s">
        <v>84</v>
      </c>
      <c r="F86" s="24" t="s">
        <v>80</v>
      </c>
      <c r="G86" s="24" t="s">
        <v>85</v>
      </c>
      <c r="H86">
        <v>1</v>
      </c>
      <c r="I86" s="31">
        <v>650000</v>
      </c>
      <c r="J86" s="31">
        <f>Table1[[#This Row],[Quantity]]*Table1[[#This Row],[Unit Price]]</f>
        <v>650000</v>
      </c>
      <c r="K86" s="24" t="s">
        <v>107</v>
      </c>
    </row>
    <row r="87" spans="1:11" x14ac:dyDescent="0.2">
      <c r="A87" s="1">
        <v>46079</v>
      </c>
      <c r="B87" s="24" t="s">
        <v>290</v>
      </c>
      <c r="C87" s="24" t="s">
        <v>291</v>
      </c>
      <c r="D87" s="24" t="s">
        <v>124</v>
      </c>
      <c r="E87" s="24" t="s">
        <v>97</v>
      </c>
      <c r="F87" s="24" t="s">
        <v>87</v>
      </c>
      <c r="G87" s="24" t="s">
        <v>98</v>
      </c>
      <c r="H87">
        <v>1</v>
      </c>
      <c r="I87" s="31">
        <v>850000</v>
      </c>
      <c r="J87" s="31">
        <f>Table1[[#This Row],[Quantity]]*Table1[[#This Row],[Unit Price]]</f>
        <v>850000</v>
      </c>
      <c r="K87" s="24" t="s">
        <v>112</v>
      </c>
    </row>
    <row r="88" spans="1:11" x14ac:dyDescent="0.2">
      <c r="A88" s="1">
        <v>46002</v>
      </c>
      <c r="B88" s="24" t="s">
        <v>292</v>
      </c>
      <c r="C88" s="24" t="s">
        <v>293</v>
      </c>
      <c r="D88" s="24" t="s">
        <v>128</v>
      </c>
      <c r="E88" s="24" t="s">
        <v>34</v>
      </c>
      <c r="F88" s="24" t="s">
        <v>26</v>
      </c>
      <c r="G88" s="24" t="s">
        <v>203</v>
      </c>
      <c r="H88">
        <v>1</v>
      </c>
      <c r="I88" s="31">
        <v>1250000</v>
      </c>
      <c r="J88" s="31">
        <f>Table1[[#This Row],[Quantity]]*Table1[[#This Row],[Unit Price]]</f>
        <v>1250000</v>
      </c>
      <c r="K88" s="24" t="s">
        <v>100</v>
      </c>
    </row>
    <row r="89" spans="1:11" x14ac:dyDescent="0.2">
      <c r="A89" s="1">
        <v>45923</v>
      </c>
      <c r="B89" s="24" t="s">
        <v>294</v>
      </c>
      <c r="C89" s="24" t="s">
        <v>295</v>
      </c>
      <c r="D89" s="24" t="s">
        <v>131</v>
      </c>
      <c r="E89" s="24" t="s">
        <v>57</v>
      </c>
      <c r="F89" s="24" t="s">
        <v>39</v>
      </c>
      <c r="G89" s="24" t="s">
        <v>58</v>
      </c>
      <c r="H89">
        <v>1</v>
      </c>
      <c r="I89" s="31">
        <v>450000</v>
      </c>
      <c r="J89" s="31">
        <f>Table1[[#This Row],[Quantity]]*Table1[[#This Row],[Unit Price]]</f>
        <v>450000</v>
      </c>
      <c r="K89" s="24" t="s">
        <v>107</v>
      </c>
    </row>
    <row r="90" spans="1:11" x14ac:dyDescent="0.2">
      <c r="A90" s="1">
        <v>45860</v>
      </c>
      <c r="B90" s="24" t="s">
        <v>296</v>
      </c>
      <c r="C90" s="24" t="s">
        <v>297</v>
      </c>
      <c r="D90" s="24" t="s">
        <v>135</v>
      </c>
      <c r="E90" s="24" t="s">
        <v>59</v>
      </c>
      <c r="F90" s="24" t="s">
        <v>60</v>
      </c>
      <c r="G90" s="24" t="s">
        <v>160</v>
      </c>
      <c r="H90">
        <v>1</v>
      </c>
      <c r="I90" s="31">
        <v>950000</v>
      </c>
      <c r="J90" s="31">
        <f>Table1[[#This Row],[Quantity]]*Table1[[#This Row],[Unit Price]]</f>
        <v>950000</v>
      </c>
      <c r="K90" s="24" t="s">
        <v>112</v>
      </c>
    </row>
    <row r="91" spans="1:11" x14ac:dyDescent="0.2">
      <c r="A91" s="1">
        <v>45975</v>
      </c>
      <c r="B91" s="24" t="s">
        <v>298</v>
      </c>
      <c r="C91" s="24" t="s">
        <v>299</v>
      </c>
      <c r="D91" s="24" t="s">
        <v>138</v>
      </c>
      <c r="E91" s="24" t="s">
        <v>89</v>
      </c>
      <c r="F91" s="24" t="s">
        <v>87</v>
      </c>
      <c r="G91" s="24" t="s">
        <v>90</v>
      </c>
      <c r="H91">
        <v>1</v>
      </c>
      <c r="I91" s="31">
        <v>580000</v>
      </c>
      <c r="J91" s="31">
        <f>Table1[[#This Row],[Quantity]]*Table1[[#This Row],[Unit Price]]</f>
        <v>580000</v>
      </c>
      <c r="K91" s="24" t="s">
        <v>107</v>
      </c>
    </row>
    <row r="92" spans="1:11" x14ac:dyDescent="0.2">
      <c r="A92" s="1">
        <v>46085</v>
      </c>
      <c r="B92" s="24" t="s">
        <v>300</v>
      </c>
      <c r="C92" s="24" t="s">
        <v>301</v>
      </c>
      <c r="D92" s="24" t="s">
        <v>141</v>
      </c>
      <c r="E92" s="24" t="s">
        <v>28</v>
      </c>
      <c r="F92" s="24" t="s">
        <v>26</v>
      </c>
      <c r="G92" s="24" t="s">
        <v>111</v>
      </c>
      <c r="H92">
        <v>1</v>
      </c>
      <c r="I92" s="31">
        <v>2850000</v>
      </c>
      <c r="J92" s="31">
        <f>Table1[[#This Row],[Quantity]]*Table1[[#This Row],[Unit Price]]</f>
        <v>2850000</v>
      </c>
      <c r="K92" s="24" t="s">
        <v>100</v>
      </c>
    </row>
    <row r="93" spans="1:11" x14ac:dyDescent="0.2">
      <c r="A93" s="1">
        <v>46053</v>
      </c>
      <c r="B93" s="24" t="s">
        <v>302</v>
      </c>
      <c r="C93" s="24" t="s">
        <v>239</v>
      </c>
      <c r="D93" s="24" t="s">
        <v>144</v>
      </c>
      <c r="E93" s="24" t="s">
        <v>41</v>
      </c>
      <c r="F93" s="24" t="s">
        <v>39</v>
      </c>
      <c r="G93" s="24" t="s">
        <v>42</v>
      </c>
      <c r="H93">
        <v>1</v>
      </c>
      <c r="I93" s="31">
        <v>1650000</v>
      </c>
      <c r="J93" s="31">
        <f>Table1[[#This Row],[Quantity]]*Table1[[#This Row],[Unit Price]]</f>
        <v>1650000</v>
      </c>
      <c r="K93" s="24" t="s">
        <v>112</v>
      </c>
    </row>
    <row r="94" spans="1:11" x14ac:dyDescent="0.2">
      <c r="A94" s="1">
        <v>45874</v>
      </c>
      <c r="B94" s="24" t="s">
        <v>303</v>
      </c>
      <c r="C94" s="24" t="s">
        <v>304</v>
      </c>
      <c r="D94" s="24" t="s">
        <v>149</v>
      </c>
      <c r="E94" s="24" t="s">
        <v>82</v>
      </c>
      <c r="F94" s="24" t="s">
        <v>80</v>
      </c>
      <c r="G94" s="24" t="s">
        <v>83</v>
      </c>
      <c r="H94">
        <v>1</v>
      </c>
      <c r="I94" s="31">
        <v>1850000</v>
      </c>
      <c r="J94" s="31">
        <f>Table1[[#This Row],[Quantity]]*Table1[[#This Row],[Unit Price]]</f>
        <v>1850000</v>
      </c>
      <c r="K94" s="24" t="s">
        <v>107</v>
      </c>
    </row>
    <row r="95" spans="1:11" x14ac:dyDescent="0.2">
      <c r="A95" s="1">
        <v>45957</v>
      </c>
      <c r="B95" s="24" t="s">
        <v>305</v>
      </c>
      <c r="C95" s="24" t="s">
        <v>306</v>
      </c>
      <c r="D95" s="24" t="s">
        <v>152</v>
      </c>
      <c r="E95" s="24" t="s">
        <v>86</v>
      </c>
      <c r="F95" s="24" t="s">
        <v>87</v>
      </c>
      <c r="G95" s="24" t="s">
        <v>88</v>
      </c>
      <c r="H95">
        <v>1</v>
      </c>
      <c r="I95" s="31">
        <v>1100000</v>
      </c>
      <c r="J95" s="31">
        <f>Table1[[#This Row],[Quantity]]*Table1[[#This Row],[Unit Price]]</f>
        <v>1100000</v>
      </c>
      <c r="K95" s="24" t="s">
        <v>112</v>
      </c>
    </row>
    <row r="96" spans="1:11" x14ac:dyDescent="0.2">
      <c r="A96" s="1">
        <v>45760</v>
      </c>
      <c r="B96" s="24" t="s">
        <v>307</v>
      </c>
      <c r="C96" s="24" t="s">
        <v>308</v>
      </c>
      <c r="D96" s="24" t="s">
        <v>156</v>
      </c>
      <c r="E96" s="24" t="s">
        <v>45</v>
      </c>
      <c r="F96" s="24" t="s">
        <v>39</v>
      </c>
      <c r="G96" s="24" t="s">
        <v>46</v>
      </c>
      <c r="H96">
        <v>1</v>
      </c>
      <c r="I96" s="31">
        <v>1450000</v>
      </c>
      <c r="J96" s="31">
        <f>Table1[[#This Row],[Quantity]]*Table1[[#This Row],[Unit Price]]</f>
        <v>1450000</v>
      </c>
      <c r="K96" s="24" t="s">
        <v>100</v>
      </c>
    </row>
    <row r="97" spans="1:11" x14ac:dyDescent="0.2">
      <c r="A97" s="1">
        <v>45941</v>
      </c>
      <c r="B97" s="24" t="s">
        <v>309</v>
      </c>
      <c r="C97" s="24" t="s">
        <v>205</v>
      </c>
      <c r="D97" s="24" t="s">
        <v>159</v>
      </c>
      <c r="E97" s="24" t="s">
        <v>32</v>
      </c>
      <c r="F97" s="24" t="s">
        <v>26</v>
      </c>
      <c r="G97" s="24" t="s">
        <v>164</v>
      </c>
      <c r="H97">
        <v>1</v>
      </c>
      <c r="I97" s="31">
        <v>1950000</v>
      </c>
      <c r="J97" s="31">
        <f>Table1[[#This Row],[Quantity]]*Table1[[#This Row],[Unit Price]]</f>
        <v>1950000</v>
      </c>
      <c r="K97" s="24" t="s">
        <v>107</v>
      </c>
    </row>
    <row r="98" spans="1:11" x14ac:dyDescent="0.2">
      <c r="A98" s="1">
        <v>45852</v>
      </c>
      <c r="B98" s="24" t="s">
        <v>310</v>
      </c>
      <c r="C98" s="24" t="s">
        <v>311</v>
      </c>
      <c r="D98" s="24" t="s">
        <v>163</v>
      </c>
      <c r="E98" s="24" t="s">
        <v>68</v>
      </c>
      <c r="F98" s="24" t="s">
        <v>60</v>
      </c>
      <c r="G98" s="24" t="s">
        <v>69</v>
      </c>
      <c r="H98">
        <v>1</v>
      </c>
      <c r="I98" s="31">
        <v>1800000</v>
      </c>
      <c r="J98" s="31">
        <f>Table1[[#This Row],[Quantity]]*Table1[[#This Row],[Unit Price]]</f>
        <v>1800000</v>
      </c>
      <c r="K98" s="24" t="s">
        <v>112</v>
      </c>
    </row>
    <row r="99" spans="1:11" x14ac:dyDescent="0.2">
      <c r="A99" s="1">
        <v>46044</v>
      </c>
      <c r="B99" s="24" t="s">
        <v>312</v>
      </c>
      <c r="C99" s="24" t="s">
        <v>226</v>
      </c>
      <c r="D99" s="24" t="s">
        <v>167</v>
      </c>
      <c r="E99" s="24" t="s">
        <v>93</v>
      </c>
      <c r="F99" s="24" t="s">
        <v>87</v>
      </c>
      <c r="G99" s="24" t="s">
        <v>146</v>
      </c>
      <c r="H99">
        <v>1</v>
      </c>
      <c r="I99" s="31">
        <v>550000</v>
      </c>
      <c r="J99" s="31">
        <f>Table1[[#This Row],[Quantity]]*Table1[[#This Row],[Unit Price]]</f>
        <v>550000</v>
      </c>
      <c r="K99" s="24" t="s">
        <v>107</v>
      </c>
    </row>
    <row r="100" spans="1:11" x14ac:dyDescent="0.2">
      <c r="A100" s="1">
        <v>46083</v>
      </c>
      <c r="B100" s="24" t="s">
        <v>313</v>
      </c>
      <c r="C100" s="24" t="s">
        <v>314</v>
      </c>
      <c r="D100" s="24" t="s">
        <v>170</v>
      </c>
      <c r="E100" s="24" t="s">
        <v>53</v>
      </c>
      <c r="F100" s="24" t="s">
        <v>39</v>
      </c>
      <c r="G100" s="24" t="s">
        <v>54</v>
      </c>
      <c r="H100">
        <v>1</v>
      </c>
      <c r="I100" s="31">
        <v>880000</v>
      </c>
      <c r="J100" s="31">
        <f>Table1[[#This Row],[Quantity]]*Table1[[#This Row],[Unit Price]]</f>
        <v>880000</v>
      </c>
      <c r="K100" s="24" t="s">
        <v>100</v>
      </c>
    </row>
    <row r="101" spans="1:11" x14ac:dyDescent="0.2">
      <c r="A101" s="1">
        <v>45792</v>
      </c>
      <c r="B101" s="24" t="s">
        <v>315</v>
      </c>
      <c r="C101" s="24" t="s">
        <v>316</v>
      </c>
      <c r="D101" s="24" t="s">
        <v>227</v>
      </c>
      <c r="E101" s="24" t="s">
        <v>73</v>
      </c>
      <c r="F101" s="24" t="s">
        <v>71</v>
      </c>
      <c r="G101" s="24" t="s">
        <v>187</v>
      </c>
      <c r="H101">
        <v>1</v>
      </c>
      <c r="I101" s="31">
        <v>850000</v>
      </c>
      <c r="J101" s="31">
        <f>Table1[[#This Row],[Quantity]]*Table1[[#This Row],[Unit Price]]</f>
        <v>850000</v>
      </c>
      <c r="K101" s="24" t="s">
        <v>112</v>
      </c>
    </row>
    <row r="102" spans="1:11" x14ac:dyDescent="0.2">
      <c r="A102" s="1">
        <v>45918</v>
      </c>
      <c r="B102" s="24" t="s">
        <v>317</v>
      </c>
      <c r="C102" s="24" t="s">
        <v>318</v>
      </c>
      <c r="D102" s="24" t="s">
        <v>174</v>
      </c>
      <c r="E102" s="24" t="s">
        <v>91</v>
      </c>
      <c r="F102" s="24" t="s">
        <v>87</v>
      </c>
      <c r="G102" s="24" t="s">
        <v>92</v>
      </c>
      <c r="H102">
        <v>1</v>
      </c>
      <c r="I102" s="31">
        <v>380000</v>
      </c>
      <c r="J102" s="31">
        <f>Table1[[#This Row],[Quantity]]*Table1[[#This Row],[Unit Price]]</f>
        <v>380000</v>
      </c>
      <c r="K102" s="24" t="s">
        <v>107</v>
      </c>
    </row>
    <row r="103" spans="1:11" x14ac:dyDescent="0.2">
      <c r="A103" s="1">
        <v>46119</v>
      </c>
      <c r="B103" s="24" t="s">
        <v>319</v>
      </c>
      <c r="C103" s="24" t="s">
        <v>344</v>
      </c>
      <c r="D103" s="24" t="s">
        <v>345</v>
      </c>
      <c r="E103" s="24" t="s">
        <v>38</v>
      </c>
      <c r="F103" s="24" t="s">
        <v>39</v>
      </c>
      <c r="G103" s="24" t="s">
        <v>40</v>
      </c>
      <c r="H103" s="23">
        <v>2</v>
      </c>
      <c r="I103" s="31">
        <v>1900000</v>
      </c>
      <c r="J103" s="31">
        <f>Table1[[#This Row],[Quantity]]*Table1[[#This Row],[Unit Price]]</f>
        <v>3800000</v>
      </c>
      <c r="K103" s="24"/>
    </row>
    <row r="104" spans="1:11" x14ac:dyDescent="0.2">
      <c r="A104" s="1">
        <v>46119</v>
      </c>
      <c r="B104" s="24" t="s">
        <v>319</v>
      </c>
      <c r="C104" s="24" t="s">
        <v>344</v>
      </c>
      <c r="D104" s="24" t="s">
        <v>345</v>
      </c>
      <c r="E104" s="24" t="s">
        <v>25</v>
      </c>
      <c r="F104" s="24" t="s">
        <v>26</v>
      </c>
      <c r="G104" s="24" t="s">
        <v>27</v>
      </c>
      <c r="H104" s="23">
        <v>2</v>
      </c>
      <c r="I104" s="31">
        <v>4200000</v>
      </c>
      <c r="J104" s="31">
        <f>Table1[[#This Row],[Quantity]]*Table1[[#This Row],[Unit Price]]</f>
        <v>8400000</v>
      </c>
      <c r="K104" s="24"/>
    </row>
    <row r="105" spans="1:11" x14ac:dyDescent="0.2">
      <c r="A105" s="32">
        <v>46119</v>
      </c>
      <c r="B105" s="24" t="s">
        <v>349</v>
      </c>
      <c r="C105" s="24" t="s">
        <v>347</v>
      </c>
      <c r="D105" s="24" t="s">
        <v>348</v>
      </c>
      <c r="E105" s="24"/>
      <c r="F105" s="24" t="s">
        <v>26</v>
      </c>
      <c r="G105" s="24" t="s">
        <v>31</v>
      </c>
      <c r="H105" s="23">
        <v>1</v>
      </c>
      <c r="I105" s="31">
        <v>1450000</v>
      </c>
      <c r="J105" s="31">
        <f>Table1[[#This Row],[Quantity]]*Table1[[#This Row],[Unit Price]]</f>
        <v>1450000</v>
      </c>
      <c r="K105" s="24" t="s">
        <v>346</v>
      </c>
    </row>
    <row r="106" spans="1:11" x14ac:dyDescent="0.2">
      <c r="B106" s="24"/>
      <c r="C106" s="24"/>
      <c r="E106" s="24"/>
      <c r="F106" s="24"/>
      <c r="G106" s="24"/>
      <c r="I106" s="31"/>
      <c r="J106" s="31"/>
      <c r="K106" s="24"/>
    </row>
    <row r="107" spans="1:11" x14ac:dyDescent="0.2">
      <c r="B107" s="24"/>
      <c r="C107" s="24"/>
      <c r="E107" s="24"/>
      <c r="F107" s="24"/>
      <c r="G107" s="24"/>
      <c r="I107" s="31"/>
      <c r="J107" s="31"/>
      <c r="K107" s="24"/>
    </row>
    <row r="108" spans="1:11" x14ac:dyDescent="0.2">
      <c r="B108" s="24"/>
      <c r="C108" s="24"/>
      <c r="E108" s="24"/>
      <c r="F108" s="24"/>
      <c r="G108" s="24"/>
      <c r="I108" s="31"/>
      <c r="J108" s="31"/>
      <c r="K108" s="24"/>
    </row>
    <row r="109" spans="1:11" x14ac:dyDescent="0.2">
      <c r="B109" s="24"/>
      <c r="C109" s="24"/>
      <c r="E109" s="24"/>
      <c r="F109" s="24"/>
      <c r="G109" s="24"/>
      <c r="I109" s="31"/>
      <c r="J109" s="31"/>
      <c r="K109" s="24"/>
    </row>
  </sheetData>
  <sheetProtection sheet="1" objects="1" scenarios="1" selectLockedCells="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C21E78-E999-42D7-9A25-44F259D370F9}">
  <sheetPr codeName="Sheet4">
    <tabColor theme="0" tint="-0.499984740745262"/>
  </sheetPr>
  <dimension ref="A1:D35"/>
  <sheetViews>
    <sheetView workbookViewId="0"/>
  </sheetViews>
  <sheetFormatPr defaultRowHeight="14.25" x14ac:dyDescent="0.2"/>
  <cols>
    <col min="1" max="1" width="10.25" bestFit="1" customWidth="1"/>
    <col min="2" max="2" width="9.125" bestFit="1" customWidth="1"/>
    <col min="3" max="3" width="35.375" bestFit="1" customWidth="1"/>
    <col min="4" max="4" width="12.75" bestFit="1" customWidth="1"/>
  </cols>
  <sheetData>
    <row r="1" spans="1:4" ht="15" x14ac:dyDescent="0.2">
      <c r="A1" s="16" t="s">
        <v>1</v>
      </c>
      <c r="B1" s="16" t="s">
        <v>3</v>
      </c>
      <c r="C1" s="16" t="s">
        <v>2</v>
      </c>
      <c r="D1" s="17" t="s">
        <v>24</v>
      </c>
    </row>
    <row r="2" spans="1:4" x14ac:dyDescent="0.2">
      <c r="A2" s="18" t="s">
        <v>25</v>
      </c>
      <c r="B2" s="18" t="s">
        <v>26</v>
      </c>
      <c r="C2" s="18" t="s">
        <v>27</v>
      </c>
      <c r="D2" s="19">
        <v>4200000</v>
      </c>
    </row>
    <row r="3" spans="1:4" x14ac:dyDescent="0.2">
      <c r="A3" s="18" t="s">
        <v>28</v>
      </c>
      <c r="B3" s="18" t="s">
        <v>26</v>
      </c>
      <c r="C3" s="18" t="s">
        <v>29</v>
      </c>
      <c r="D3" s="19">
        <v>2850000</v>
      </c>
    </row>
    <row r="4" spans="1:4" x14ac:dyDescent="0.2">
      <c r="A4" s="18" t="s">
        <v>30</v>
      </c>
      <c r="B4" s="18" t="s">
        <v>26</v>
      </c>
      <c r="C4" s="18" t="s">
        <v>31</v>
      </c>
      <c r="D4" s="19">
        <v>1450000</v>
      </c>
    </row>
    <row r="5" spans="1:4" x14ac:dyDescent="0.2">
      <c r="A5" s="18" t="s">
        <v>32</v>
      </c>
      <c r="B5" s="18" t="s">
        <v>26</v>
      </c>
      <c r="C5" s="18" t="s">
        <v>33</v>
      </c>
      <c r="D5" s="19">
        <v>1950000</v>
      </c>
    </row>
    <row r="6" spans="1:4" x14ac:dyDescent="0.2">
      <c r="A6" s="18" t="s">
        <v>34</v>
      </c>
      <c r="B6" s="18" t="s">
        <v>26</v>
      </c>
      <c r="C6" s="18" t="s">
        <v>35</v>
      </c>
      <c r="D6" s="19">
        <v>1250000</v>
      </c>
    </row>
    <row r="7" spans="1:4" x14ac:dyDescent="0.2">
      <c r="A7" s="18" t="s">
        <v>36</v>
      </c>
      <c r="B7" s="18" t="s">
        <v>26</v>
      </c>
      <c r="C7" s="18" t="s">
        <v>37</v>
      </c>
      <c r="D7" s="19">
        <v>950000</v>
      </c>
    </row>
    <row r="8" spans="1:4" x14ac:dyDescent="0.2">
      <c r="A8" s="18" t="s">
        <v>38</v>
      </c>
      <c r="B8" s="18" t="s">
        <v>39</v>
      </c>
      <c r="C8" s="18" t="s">
        <v>40</v>
      </c>
      <c r="D8" s="19">
        <v>1900000</v>
      </c>
    </row>
    <row r="9" spans="1:4" x14ac:dyDescent="0.2">
      <c r="A9" s="18" t="s">
        <v>41</v>
      </c>
      <c r="B9" s="18" t="s">
        <v>39</v>
      </c>
      <c r="C9" s="18" t="s">
        <v>42</v>
      </c>
      <c r="D9" s="19">
        <v>1650000</v>
      </c>
    </row>
    <row r="10" spans="1:4" x14ac:dyDescent="0.2">
      <c r="A10" s="18" t="s">
        <v>43</v>
      </c>
      <c r="B10" s="18" t="s">
        <v>39</v>
      </c>
      <c r="C10" s="18" t="s">
        <v>44</v>
      </c>
      <c r="D10" s="19">
        <v>1150000</v>
      </c>
    </row>
    <row r="11" spans="1:4" x14ac:dyDescent="0.2">
      <c r="A11" s="18" t="s">
        <v>45</v>
      </c>
      <c r="B11" s="18" t="s">
        <v>39</v>
      </c>
      <c r="C11" s="18" t="s">
        <v>46</v>
      </c>
      <c r="D11" s="19">
        <v>1450000</v>
      </c>
    </row>
    <row r="12" spans="1:4" x14ac:dyDescent="0.2">
      <c r="A12" s="18" t="s">
        <v>47</v>
      </c>
      <c r="B12" s="18" t="s">
        <v>39</v>
      </c>
      <c r="C12" s="18" t="s">
        <v>48</v>
      </c>
      <c r="D12" s="19">
        <v>1250000</v>
      </c>
    </row>
    <row r="13" spans="1:4" x14ac:dyDescent="0.2">
      <c r="A13" s="18" t="s">
        <v>49</v>
      </c>
      <c r="B13" s="18" t="s">
        <v>39</v>
      </c>
      <c r="C13" s="18" t="s">
        <v>50</v>
      </c>
      <c r="D13" s="19">
        <v>1050000</v>
      </c>
    </row>
    <row r="14" spans="1:4" x14ac:dyDescent="0.2">
      <c r="A14" s="18" t="s">
        <v>51</v>
      </c>
      <c r="B14" s="18" t="s">
        <v>39</v>
      </c>
      <c r="C14" s="18" t="s">
        <v>52</v>
      </c>
      <c r="D14" s="19">
        <v>1100000</v>
      </c>
    </row>
    <row r="15" spans="1:4" x14ac:dyDescent="0.2">
      <c r="A15" s="18" t="s">
        <v>53</v>
      </c>
      <c r="B15" s="18" t="s">
        <v>39</v>
      </c>
      <c r="C15" s="18" t="s">
        <v>54</v>
      </c>
      <c r="D15" s="19">
        <v>880000</v>
      </c>
    </row>
    <row r="16" spans="1:4" x14ac:dyDescent="0.2">
      <c r="A16" s="18" t="s">
        <v>55</v>
      </c>
      <c r="B16" s="18" t="s">
        <v>39</v>
      </c>
      <c r="C16" s="18" t="s">
        <v>56</v>
      </c>
      <c r="D16" s="19">
        <v>650000</v>
      </c>
    </row>
    <row r="17" spans="1:4" x14ac:dyDescent="0.2">
      <c r="A17" s="18" t="s">
        <v>57</v>
      </c>
      <c r="B17" s="18" t="s">
        <v>39</v>
      </c>
      <c r="C17" s="18" t="s">
        <v>58</v>
      </c>
      <c r="D17" s="19">
        <v>450000</v>
      </c>
    </row>
    <row r="18" spans="1:4" x14ac:dyDescent="0.2">
      <c r="A18" s="18" t="s">
        <v>59</v>
      </c>
      <c r="B18" s="18" t="s">
        <v>60</v>
      </c>
      <c r="C18" s="18" t="s">
        <v>61</v>
      </c>
      <c r="D18" s="19">
        <v>950000</v>
      </c>
    </row>
    <row r="19" spans="1:4" x14ac:dyDescent="0.2">
      <c r="A19" s="18" t="s">
        <v>62</v>
      </c>
      <c r="B19" s="18" t="s">
        <v>60</v>
      </c>
      <c r="C19" s="18" t="s">
        <v>63</v>
      </c>
      <c r="D19" s="19">
        <v>1100000</v>
      </c>
    </row>
    <row r="20" spans="1:4" x14ac:dyDescent="0.2">
      <c r="A20" s="18" t="s">
        <v>64</v>
      </c>
      <c r="B20" s="18" t="s">
        <v>60</v>
      </c>
      <c r="C20" s="18" t="s">
        <v>65</v>
      </c>
      <c r="D20" s="19">
        <v>450000</v>
      </c>
    </row>
    <row r="21" spans="1:4" x14ac:dyDescent="0.2">
      <c r="A21" s="18" t="s">
        <v>66</v>
      </c>
      <c r="B21" s="18" t="s">
        <v>60</v>
      </c>
      <c r="C21" s="18" t="s">
        <v>67</v>
      </c>
      <c r="D21" s="19">
        <v>2100000</v>
      </c>
    </row>
    <row r="22" spans="1:4" x14ac:dyDescent="0.2">
      <c r="A22" s="18" t="s">
        <v>68</v>
      </c>
      <c r="B22" s="18" t="s">
        <v>60</v>
      </c>
      <c r="C22" s="18" t="s">
        <v>69</v>
      </c>
      <c r="D22" s="19">
        <v>1800000</v>
      </c>
    </row>
    <row r="23" spans="1:4" x14ac:dyDescent="0.2">
      <c r="A23" s="18" t="s">
        <v>70</v>
      </c>
      <c r="B23" s="18" t="s">
        <v>71</v>
      </c>
      <c r="C23" s="18" t="s">
        <v>72</v>
      </c>
      <c r="D23" s="19">
        <v>1550000</v>
      </c>
    </row>
    <row r="24" spans="1:4" x14ac:dyDescent="0.2">
      <c r="A24" s="18" t="s">
        <v>73</v>
      </c>
      <c r="B24" s="18" t="s">
        <v>71</v>
      </c>
      <c r="C24" s="18" t="s">
        <v>74</v>
      </c>
      <c r="D24" s="19">
        <v>850000</v>
      </c>
    </row>
    <row r="25" spans="1:4" x14ac:dyDescent="0.2">
      <c r="A25" s="18" t="s">
        <v>75</v>
      </c>
      <c r="B25" s="18" t="s">
        <v>71</v>
      </c>
      <c r="C25" s="18" t="s">
        <v>76</v>
      </c>
      <c r="D25" s="19">
        <v>620000</v>
      </c>
    </row>
    <row r="26" spans="1:4" x14ac:dyDescent="0.2">
      <c r="A26" s="18" t="s">
        <v>77</v>
      </c>
      <c r="B26" s="18" t="s">
        <v>71</v>
      </c>
      <c r="C26" s="18" t="s">
        <v>78</v>
      </c>
      <c r="D26" s="19">
        <v>1350000</v>
      </c>
    </row>
    <row r="27" spans="1:4" x14ac:dyDescent="0.2">
      <c r="A27" s="18" t="s">
        <v>79</v>
      </c>
      <c r="B27" s="18" t="s">
        <v>80</v>
      </c>
      <c r="C27" s="18" t="s">
        <v>81</v>
      </c>
      <c r="D27" s="19">
        <v>1600000</v>
      </c>
    </row>
    <row r="28" spans="1:4" x14ac:dyDescent="0.2">
      <c r="A28" s="18" t="s">
        <v>82</v>
      </c>
      <c r="B28" s="18" t="s">
        <v>80</v>
      </c>
      <c r="C28" s="18" t="s">
        <v>83</v>
      </c>
      <c r="D28" s="19">
        <v>1850000</v>
      </c>
    </row>
    <row r="29" spans="1:4" x14ac:dyDescent="0.2">
      <c r="A29" s="18" t="s">
        <v>84</v>
      </c>
      <c r="B29" s="18" t="s">
        <v>80</v>
      </c>
      <c r="C29" s="18" t="s">
        <v>85</v>
      </c>
      <c r="D29" s="19">
        <v>650000</v>
      </c>
    </row>
    <row r="30" spans="1:4" x14ac:dyDescent="0.2">
      <c r="A30" s="18" t="s">
        <v>86</v>
      </c>
      <c r="B30" s="18" t="s">
        <v>87</v>
      </c>
      <c r="C30" s="18" t="s">
        <v>88</v>
      </c>
      <c r="D30" s="19">
        <v>1100000</v>
      </c>
    </row>
    <row r="31" spans="1:4" x14ac:dyDescent="0.2">
      <c r="A31" s="18" t="s">
        <v>89</v>
      </c>
      <c r="B31" s="18" t="s">
        <v>87</v>
      </c>
      <c r="C31" s="18" t="s">
        <v>90</v>
      </c>
      <c r="D31" s="19">
        <v>580000</v>
      </c>
    </row>
    <row r="32" spans="1:4" x14ac:dyDescent="0.2">
      <c r="A32" s="18" t="s">
        <v>91</v>
      </c>
      <c r="B32" s="18" t="s">
        <v>87</v>
      </c>
      <c r="C32" s="18" t="s">
        <v>92</v>
      </c>
      <c r="D32" s="19">
        <v>380000</v>
      </c>
    </row>
    <row r="33" spans="1:4" x14ac:dyDescent="0.2">
      <c r="A33" s="18" t="s">
        <v>93</v>
      </c>
      <c r="B33" s="18" t="s">
        <v>87</v>
      </c>
      <c r="C33" s="18" t="s">
        <v>94</v>
      </c>
      <c r="D33" s="19">
        <v>550000</v>
      </c>
    </row>
    <row r="34" spans="1:4" x14ac:dyDescent="0.2">
      <c r="A34" s="18" t="s">
        <v>95</v>
      </c>
      <c r="B34" s="18" t="s">
        <v>87</v>
      </c>
      <c r="C34" s="18" t="s">
        <v>96</v>
      </c>
      <c r="D34" s="19">
        <v>45000</v>
      </c>
    </row>
    <row r="35" spans="1:4" x14ac:dyDescent="0.2">
      <c r="A35" s="18" t="s">
        <v>97</v>
      </c>
      <c r="B35" s="18" t="s">
        <v>87</v>
      </c>
      <c r="C35" s="18" t="s">
        <v>98</v>
      </c>
      <c r="D35" s="19">
        <v>850000</v>
      </c>
    </row>
  </sheetData>
  <sheetProtection sheet="1" objects="1" scenarios="1" selectLockedCell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FDCDC-2BC6-4450-AE4D-2B216A691E29}">
  <sheetPr codeName="Sheet7">
    <tabColor theme="0" tint="-0.499984740745262"/>
  </sheetPr>
  <dimension ref="A1:A5"/>
  <sheetViews>
    <sheetView workbookViewId="0"/>
  </sheetViews>
  <sheetFormatPr defaultRowHeight="14.25" x14ac:dyDescent="0.2"/>
  <sheetData>
    <row r="1" spans="1:1" ht="15" x14ac:dyDescent="0.2">
      <c r="A1" s="16" t="s">
        <v>6</v>
      </c>
    </row>
    <row r="2" spans="1:1" x14ac:dyDescent="0.2">
      <c r="A2" s="18" t="s">
        <v>100</v>
      </c>
    </row>
    <row r="3" spans="1:1" x14ac:dyDescent="0.2">
      <c r="A3" s="18" t="s">
        <v>101</v>
      </c>
    </row>
    <row r="4" spans="1:1" x14ac:dyDescent="0.2">
      <c r="A4" s="18" t="s">
        <v>102</v>
      </c>
    </row>
    <row r="5" spans="1:1" x14ac:dyDescent="0.2">
      <c r="A5" s="18" t="s">
        <v>103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8855D-69FF-4285-8906-FDD8BDD706C8}">
  <sheetPr codeName="Sheet6"/>
  <dimension ref="A1:J23"/>
  <sheetViews>
    <sheetView workbookViewId="0">
      <selection activeCell="E3" sqref="E3"/>
    </sheetView>
  </sheetViews>
  <sheetFormatPr defaultRowHeight="14.25" x14ac:dyDescent="0.2"/>
  <cols>
    <col min="1" max="1" width="11.375" bestFit="1" customWidth="1"/>
    <col min="2" max="2" width="15" bestFit="1" customWidth="1"/>
    <col min="3" max="3" width="16.125" bestFit="1" customWidth="1"/>
    <col min="5" max="5" width="24.375" bestFit="1" customWidth="1"/>
    <col min="6" max="6" width="12.5" bestFit="1" customWidth="1"/>
    <col min="7" max="7" width="15" bestFit="1" customWidth="1"/>
    <col min="8" max="8" width="11.375" bestFit="1" customWidth="1"/>
    <col min="9" max="10" width="13.625" bestFit="1" customWidth="1"/>
  </cols>
  <sheetData>
    <row r="1" spans="1:10" ht="15" x14ac:dyDescent="0.25">
      <c r="A1" s="12" t="s">
        <v>5</v>
      </c>
      <c r="B1" s="31">
        <f>GETPIVOTDATA("Sum of Total",$A$3)</f>
        <v>137420000</v>
      </c>
      <c r="E1" s="12" t="s">
        <v>337</v>
      </c>
      <c r="F1">
        <f>GETPIVOTDATA("Sum of Quantity",$H$3)</f>
        <v>134</v>
      </c>
      <c r="H1" s="12" t="s">
        <v>338</v>
      </c>
      <c r="I1" t="str">
        <f>H4</f>
        <v>Macbooks</v>
      </c>
    </row>
    <row r="3" spans="1:10" x14ac:dyDescent="0.2">
      <c r="A3" s="28" t="s">
        <v>341</v>
      </c>
      <c r="B3" t="s">
        <v>336</v>
      </c>
      <c r="E3" s="28" t="s">
        <v>340</v>
      </c>
      <c r="F3" t="s">
        <v>336</v>
      </c>
      <c r="H3" s="28" t="s">
        <v>339</v>
      </c>
      <c r="I3" t="s">
        <v>335</v>
      </c>
      <c r="J3" t="s">
        <v>336</v>
      </c>
    </row>
    <row r="4" spans="1:10" x14ac:dyDescent="0.2">
      <c r="A4" s="29" t="s">
        <v>323</v>
      </c>
      <c r="B4" s="21">
        <v>15330000</v>
      </c>
      <c r="E4" s="29" t="s">
        <v>153</v>
      </c>
      <c r="F4" s="21">
        <v>12600000</v>
      </c>
      <c r="H4" s="29" t="s">
        <v>26</v>
      </c>
      <c r="I4">
        <v>21</v>
      </c>
      <c r="J4" s="21">
        <v>40000000</v>
      </c>
    </row>
    <row r="5" spans="1:10" x14ac:dyDescent="0.2">
      <c r="A5" s="29" t="s">
        <v>324</v>
      </c>
      <c r="B5" s="21">
        <v>15750000</v>
      </c>
      <c r="E5" s="29" t="s">
        <v>111</v>
      </c>
      <c r="F5" s="21">
        <v>8550000</v>
      </c>
      <c r="H5" s="29" t="s">
        <v>39</v>
      </c>
      <c r="I5">
        <v>30</v>
      </c>
      <c r="J5" s="21">
        <v>36740000</v>
      </c>
    </row>
    <row r="6" spans="1:10" x14ac:dyDescent="0.2">
      <c r="A6" s="29" t="s">
        <v>325</v>
      </c>
      <c r="B6" s="21">
        <v>17420000</v>
      </c>
      <c r="E6" s="29" t="s">
        <v>42</v>
      </c>
      <c r="F6" s="21">
        <v>8250000</v>
      </c>
      <c r="H6" s="29" t="s">
        <v>87</v>
      </c>
      <c r="I6">
        <v>50</v>
      </c>
      <c r="J6" s="21">
        <v>18710000</v>
      </c>
    </row>
    <row r="7" spans="1:10" x14ac:dyDescent="0.2">
      <c r="A7" s="29" t="s">
        <v>326</v>
      </c>
      <c r="B7" s="21">
        <v>9800000</v>
      </c>
      <c r="E7" s="29" t="s">
        <v>132</v>
      </c>
      <c r="F7" s="21">
        <v>7600000</v>
      </c>
      <c r="H7" s="29" t="s">
        <v>60</v>
      </c>
      <c r="I7">
        <v>13</v>
      </c>
      <c r="J7" s="21">
        <v>16650000</v>
      </c>
    </row>
    <row r="8" spans="1:10" x14ac:dyDescent="0.2">
      <c r="A8" s="29" t="s">
        <v>327</v>
      </c>
      <c r="B8" s="21">
        <v>7980000</v>
      </c>
      <c r="E8" s="29" t="s">
        <v>40</v>
      </c>
      <c r="F8" s="21">
        <v>7600000</v>
      </c>
      <c r="H8" s="29" t="s">
        <v>80</v>
      </c>
      <c r="I8">
        <v>10</v>
      </c>
      <c r="J8" s="21">
        <v>14150000</v>
      </c>
    </row>
    <row r="9" spans="1:10" x14ac:dyDescent="0.2">
      <c r="A9" s="29" t="s">
        <v>328</v>
      </c>
      <c r="B9" s="21">
        <v>5930000</v>
      </c>
      <c r="E9" s="29" t="s">
        <v>83</v>
      </c>
      <c r="F9" s="21">
        <v>7400000</v>
      </c>
      <c r="H9" s="29" t="s">
        <v>71</v>
      </c>
      <c r="I9">
        <v>10</v>
      </c>
      <c r="J9" s="21">
        <v>11170000</v>
      </c>
    </row>
    <row r="10" spans="1:10" x14ac:dyDescent="0.2">
      <c r="A10" s="29" t="s">
        <v>329</v>
      </c>
      <c r="B10" s="21">
        <v>12930000</v>
      </c>
      <c r="E10" s="29" t="s">
        <v>164</v>
      </c>
      <c r="F10" s="21">
        <v>5850000</v>
      </c>
      <c r="H10" s="29" t="s">
        <v>320</v>
      </c>
      <c r="I10">
        <v>134</v>
      </c>
      <c r="J10" s="21">
        <v>137420000</v>
      </c>
    </row>
    <row r="11" spans="1:10" x14ac:dyDescent="0.2">
      <c r="A11" s="29" t="s">
        <v>330</v>
      </c>
      <c r="B11" s="21">
        <v>10460000</v>
      </c>
      <c r="E11" s="29" t="s">
        <v>46</v>
      </c>
      <c r="F11" s="21">
        <v>5800000</v>
      </c>
    </row>
    <row r="12" spans="1:10" x14ac:dyDescent="0.2">
      <c r="A12" s="29" t="s">
        <v>331</v>
      </c>
      <c r="B12" s="21">
        <v>9630000</v>
      </c>
      <c r="E12" s="29" t="s">
        <v>69</v>
      </c>
      <c r="F12" s="21">
        <v>5400000</v>
      </c>
    </row>
    <row r="13" spans="1:10" x14ac:dyDescent="0.2">
      <c r="A13" s="29" t="s">
        <v>332</v>
      </c>
      <c r="B13" s="21">
        <v>13500000</v>
      </c>
      <c r="E13" s="29" t="s">
        <v>171</v>
      </c>
      <c r="F13" s="21">
        <v>4800000</v>
      </c>
      <c r="H13" s="28" t="s">
        <v>342</v>
      </c>
      <c r="I13" t="s">
        <v>343</v>
      </c>
    </row>
    <row r="14" spans="1:10" x14ac:dyDescent="0.2">
      <c r="A14" s="29" t="s">
        <v>333</v>
      </c>
      <c r="B14" s="21">
        <v>7330000</v>
      </c>
      <c r="E14" s="29" t="s">
        <v>320</v>
      </c>
      <c r="F14" s="21">
        <v>73850000</v>
      </c>
      <c r="H14" s="29" t="s">
        <v>100</v>
      </c>
      <c r="I14" s="21">
        <v>26320000</v>
      </c>
    </row>
    <row r="15" spans="1:10" x14ac:dyDescent="0.2">
      <c r="A15" s="29" t="s">
        <v>334</v>
      </c>
      <c r="B15" s="21">
        <v>11360000</v>
      </c>
      <c r="H15" s="29" t="s">
        <v>112</v>
      </c>
      <c r="I15" s="21">
        <v>45380000</v>
      </c>
    </row>
    <row r="16" spans="1:10" x14ac:dyDescent="0.2">
      <c r="A16" s="29" t="s">
        <v>320</v>
      </c>
      <c r="B16" s="21">
        <v>137420000</v>
      </c>
      <c r="H16" s="29" t="s">
        <v>107</v>
      </c>
      <c r="I16" s="21">
        <v>65720000</v>
      </c>
    </row>
    <row r="17" spans="1:9" x14ac:dyDescent="0.2">
      <c r="H17" s="29" t="s">
        <v>320</v>
      </c>
      <c r="I17" s="21">
        <v>137420000</v>
      </c>
    </row>
    <row r="20" spans="1:9" x14ac:dyDescent="0.2">
      <c r="A20" s="28" t="s">
        <v>342</v>
      </c>
      <c r="B20" t="s">
        <v>335</v>
      </c>
      <c r="C20" t="s">
        <v>336</v>
      </c>
    </row>
    <row r="21" spans="1:9" x14ac:dyDescent="0.2">
      <c r="A21" s="29" t="s">
        <v>321</v>
      </c>
      <c r="B21">
        <v>91</v>
      </c>
      <c r="C21" s="30">
        <v>88920000</v>
      </c>
    </row>
    <row r="22" spans="1:9" x14ac:dyDescent="0.2">
      <c r="A22" s="29" t="s">
        <v>322</v>
      </c>
      <c r="B22">
        <v>43</v>
      </c>
      <c r="C22" s="30">
        <v>48500000</v>
      </c>
    </row>
    <row r="23" spans="1:9" x14ac:dyDescent="0.2">
      <c r="A23" s="29" t="s">
        <v>320</v>
      </c>
      <c r="B23">
        <v>134</v>
      </c>
      <c r="C23" s="30">
        <v>137420000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Business_Analytics</vt:lpstr>
      <vt:lpstr>Sales_Entry_Form</vt:lpstr>
      <vt:lpstr>Sales_Data</vt:lpstr>
      <vt:lpstr>Products</vt:lpstr>
      <vt:lpstr>Settings</vt:lpstr>
      <vt:lpstr>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Kevin Poaletti</dc:creator>
  <cp:lastModifiedBy>Peter Obikpe</cp:lastModifiedBy>
  <dcterms:created xsi:type="dcterms:W3CDTF">2021-09-16T13:34:01Z</dcterms:created>
  <dcterms:modified xsi:type="dcterms:W3CDTF">2026-04-07T20:20:04Z</dcterms:modified>
</cp:coreProperties>
</file>